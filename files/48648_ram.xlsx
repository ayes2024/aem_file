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E16F4BEB-45D6-4D3F-B66C-B981B4545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" sheetId="11" r:id="rId1"/>
  </sheets>
  <definedNames>
    <definedName name="Companyname">#REF!</definedName>
    <definedName name="_xlnm.Print_Area" localSheetId="0">TF!$B$2:$L$36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1" l="1"/>
  <c r="I10" i="11"/>
  <c r="I11" i="11"/>
  <c r="I12" i="11"/>
  <c r="I13" i="11"/>
  <c r="I14" i="11"/>
  <c r="I15" i="11"/>
  <c r="I16" i="11"/>
  <c r="I17" i="11"/>
  <c r="I18" i="11"/>
  <c r="H20" i="11" l="1"/>
  <c r="H22" i="11" s="1"/>
  <c r="H24" i="11" s="1"/>
</calcChain>
</file>

<file path=xl/sharedStrings.xml><?xml version="1.0" encoding="utf-8"?>
<sst xmlns="http://schemas.openxmlformats.org/spreadsheetml/2006/main" count="32" uniqueCount="32">
  <si>
    <t>Telefon / Fax</t>
  </si>
  <si>
    <t>№</t>
  </si>
  <si>
    <t>ÖLÇÜ VAHİDİ
UOM</t>
  </si>
  <si>
    <t>MİQDAR
Quantity</t>
  </si>
  <si>
    <t>CƏMİ
Total</t>
  </si>
  <si>
    <t>CƏMİ /TOTAL, AZN</t>
  </si>
  <si>
    <t>ƏDV/VAT, AZN</t>
  </si>
  <si>
    <t>Əlaqəli şəxs / Contact person</t>
  </si>
  <si>
    <t>ƏDV öhdəliyi / VAT liability</t>
  </si>
  <si>
    <r>
      <t xml:space="preserve">Satıcı Alıcıya çatdırılmış Mallar ilə birlikdə aşağıdakı sənədləri təqdim еtməlidir:
</t>
    </r>
    <r>
      <rPr>
        <b/>
        <sz val="12"/>
        <rFont val="Calibri"/>
        <family val="2"/>
        <scheme val="minor"/>
      </rPr>
      <t>Təgdim olunan sənədlərdə Təklif nömrəsin qeyd etmək Mütləqdir</t>
    </r>
    <r>
      <rPr>
        <sz val="12"/>
        <rFont val="Calibri"/>
        <family val="2"/>
        <scheme val="minor"/>
      </rPr>
      <t xml:space="preserve">
- Qaimə-Faktura;
- Kеyfiyyət sеrtifikatı (tələb olunan halda);
- Hеsab-faktura;
- Müvafiq təhvil-təslim aktı (tələb olunan halda);
- Vergi Hesab-Faktura (tələb olunan halda)
</t>
    </r>
    <r>
      <rPr>
        <b/>
        <sz val="12"/>
        <rFont val="Calibri"/>
        <family val="2"/>
        <scheme val="minor"/>
      </rPr>
      <t xml:space="preserve">Seller shall along with the delivered Goods dispatch to Buyer following documents:
Reference number of Quotation shall be noted in delivery and payment documents
</t>
    </r>
    <r>
      <rPr>
        <sz val="12"/>
        <rFont val="Calibri"/>
        <family val="2"/>
        <scheme val="minor"/>
      </rPr>
      <t>- Consignment Note;
- Quality Certificate (if necessary);
- Commercial Invoice;
- Relevant handover act (if necessary);
- Tax Invoice (if necessary).</t>
    </r>
  </si>
  <si>
    <t>Alış üçün sorğu forması</t>
  </si>
  <si>
    <t>Request for Quotation</t>
  </si>
  <si>
    <t xml:space="preserve">Təklif №: / Quotation # </t>
  </si>
  <si>
    <t>YEKUN/GRAND TOTAL, AZN</t>
  </si>
  <si>
    <t>Satıcı / Seller (hüquqi adı)</t>
  </si>
  <si>
    <t xml:space="preserve">Ram Holding </t>
  </si>
  <si>
    <t>TƏLƏB OLUNAN MALIN / XİDMƏTİN TƏSVİRİ
Description</t>
  </si>
  <si>
    <t>Qeyd</t>
  </si>
  <si>
    <r>
      <t xml:space="preserve">TƏKLİF OLUNAN MALIN / XİDMƏTİN TƏSVİRİ
Description </t>
    </r>
    <r>
      <rPr>
        <b/>
        <sz val="12"/>
        <color rgb="FFFF0000"/>
        <rFont val="Calibri"/>
        <family val="2"/>
        <scheme val="minor"/>
      </rPr>
      <t>(Mütləq doldurulmalı)</t>
    </r>
  </si>
  <si>
    <r>
      <t xml:space="preserve">Stok vəziyyəti
</t>
    </r>
    <r>
      <rPr>
        <b/>
        <sz val="12"/>
        <color rgb="FFFF0000"/>
        <rFont val="Calibri"/>
        <family val="2"/>
        <scheme val="minor"/>
      </rPr>
      <t>(Mütləq doldurulmalı)</t>
    </r>
  </si>
  <si>
    <r>
      <t xml:space="preserve">Zəmanət müddəti
</t>
    </r>
    <r>
      <rPr>
        <b/>
        <sz val="12"/>
        <color rgb="FFFF0000"/>
        <rFont val="Calibri"/>
        <family val="2"/>
        <scheme val="minor"/>
      </rPr>
      <t>(Mütləq 
doldurulmalı)</t>
    </r>
  </si>
  <si>
    <r>
      <t xml:space="preserve">Çatdırılma müddəti  </t>
    </r>
    <r>
      <rPr>
        <b/>
        <sz val="12"/>
        <color rgb="FFFF0000"/>
        <rFont val="Calibri"/>
        <family val="2"/>
        <scheme val="minor"/>
      </rPr>
      <t>(Mütləq doldurulmalı)</t>
    </r>
  </si>
  <si>
    <r>
      <t xml:space="preserve">Ödəniş şərti </t>
    </r>
    <r>
      <rPr>
        <b/>
        <sz val="12"/>
        <color rgb="FFFF0000"/>
        <rFont val="Calibri"/>
        <family val="2"/>
        <scheme val="minor"/>
      </rPr>
      <t>(Mütləq doldurulmalı)</t>
    </r>
  </si>
  <si>
    <r>
      <t xml:space="preserve">VAHİDİN QİYMƏTİ (ƏDV xaric)
</t>
    </r>
    <r>
      <rPr>
        <b/>
        <sz val="12"/>
        <color rgb="FFFF0000"/>
        <rFont val="Calibri"/>
        <family val="2"/>
        <scheme val="minor"/>
      </rPr>
      <t>(Mütləq doldurulmalı)</t>
    </r>
  </si>
  <si>
    <t xml:space="preserve">HDMİ Kabel </t>
  </si>
  <si>
    <t>Monitoru notebooka qoşmaq üçün kabel</t>
  </si>
  <si>
    <t>ədəd</t>
  </si>
  <si>
    <t>VOLTAM VH-10 HDMİ1.4 cable 4K 30HZ (5m)</t>
  </si>
  <si>
    <t>Məhsul</t>
  </si>
  <si>
    <t>8,66</t>
  </si>
  <si>
    <t>var</t>
  </si>
  <si>
    <t xml:space="preserve">yoxdur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</si>
</sst>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₼&quot;\ #,##0.00"/>
  </numFmts>
  <fonts count="19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Arial Narrow"/>
      <family val="2"/>
      <charset val="204"/>
    </font>
    <font>
      <sz val="12"/>
      <name val="Tahoma"/>
      <family val="2"/>
      <charset val="204"/>
    </font>
    <font>
      <b/>
      <sz val="28"/>
      <name val="Arial"/>
      <family val="2"/>
      <charset val="204"/>
    </font>
    <font>
      <sz val="10"/>
      <color theme="0"/>
      <name val="Arial"/>
      <family val="2"/>
      <charset val="204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9FFCC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91">
    <xf numFmtId="0" fontId="0" fillId="0" borderId="0" xfId="0"/>
    <xf numFmtId="0" fontId="6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1" xfId="2" applyFont="1" applyFill="1" applyBorder="1" applyAlignment="1" applyProtection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right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9" fillId="2" borderId="0" xfId="0" applyFont="1" applyFill="1"/>
    <xf numFmtId="0" fontId="9" fillId="0" borderId="0" xfId="0" applyFont="1"/>
    <xf numFmtId="0" fontId="9" fillId="0" borderId="13" xfId="3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9" fillId="0" borderId="14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 wrapText="1"/>
    </xf>
    <xf numFmtId="164" fontId="9" fillId="0" borderId="0" xfId="0" applyNumberFormat="1" applyFont="1"/>
    <xf numFmtId="0" fontId="8" fillId="2" borderId="0" xfId="0" applyFont="1" applyFill="1" applyAlignment="1">
      <alignment horizontal="right" vertical="center" indent="1"/>
    </xf>
    <xf numFmtId="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9" fontId="11" fillId="2" borderId="0" xfId="2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/>
    </xf>
    <xf numFmtId="0" fontId="9" fillId="0" borderId="16" xfId="0" applyFont="1" applyBorder="1"/>
    <xf numFmtId="0" fontId="0" fillId="0" borderId="6" xfId="0" applyBorder="1"/>
    <xf numFmtId="164" fontId="8" fillId="2" borderId="16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/>
    </xf>
    <xf numFmtId="0" fontId="8" fillId="2" borderId="0" xfId="0" applyFont="1" applyFill="1" applyAlignment="1" applyProtection="1">
      <alignment horizontal="center" vertical="center"/>
      <protection locked="0"/>
    </xf>
    <xf numFmtId="164" fontId="9" fillId="0" borderId="18" xfId="0" applyNumberFormat="1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164" fontId="9" fillId="0" borderId="19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right" vertical="center" indent="1"/>
    </xf>
    <xf numFmtId="164" fontId="9" fillId="0" borderId="10" xfId="0" applyNumberFormat="1" applyFont="1" applyBorder="1" applyAlignment="1">
      <alignment horizontal="center" vertical="center" wrapText="1"/>
    </xf>
    <xf numFmtId="0" fontId="9" fillId="0" borderId="20" xfId="3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 wrapText="1"/>
    </xf>
    <xf numFmtId="164" fontId="9" fillId="0" borderId="21" xfId="0" applyNumberFormat="1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164" fontId="8" fillId="2" borderId="16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right" vertical="center" wrapText="1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164" fontId="9" fillId="0" borderId="7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left" vertical="top"/>
      <protection locked="0"/>
    </xf>
    <xf numFmtId="0" fontId="8" fillId="2" borderId="3" xfId="0" applyFont="1" applyFill="1" applyBorder="1" applyAlignment="1" applyProtection="1">
      <alignment horizontal="left" vertical="top"/>
      <protection locked="0"/>
    </xf>
    <xf numFmtId="0" fontId="8" fillId="2" borderId="12" xfId="0" applyFont="1" applyFill="1" applyBorder="1" applyAlignment="1" applyProtection="1">
      <alignment horizontal="left" vertical="top"/>
      <protection locked="0"/>
    </xf>
    <xf numFmtId="0" fontId="8" fillId="2" borderId="4" xfId="0" applyFont="1" applyFill="1" applyBorder="1" applyAlignment="1" applyProtection="1">
      <alignment horizontal="left" vertical="top"/>
      <protection locked="0"/>
    </xf>
    <xf numFmtId="0" fontId="8" fillId="2" borderId="0" xfId="0" applyFont="1" applyFill="1" applyAlignment="1" applyProtection="1">
      <alignment horizontal="left" vertical="top"/>
      <protection locked="0"/>
    </xf>
    <xf numFmtId="0" fontId="8" fillId="2" borderId="1" xfId="0" applyFont="1" applyFill="1" applyBorder="1" applyAlignment="1" applyProtection="1">
      <alignment horizontal="left" vertical="top"/>
      <protection locked="0"/>
    </xf>
    <xf numFmtId="0" fontId="8" fillId="2" borderId="5" xfId="0" applyFont="1" applyFill="1" applyBorder="1" applyAlignment="1" applyProtection="1">
      <alignment horizontal="left" vertical="top"/>
      <protection locked="0"/>
    </xf>
    <xf numFmtId="0" fontId="8" fillId="2" borderId="16" xfId="0" applyFont="1" applyFill="1" applyBorder="1" applyAlignment="1" applyProtection="1">
      <alignment horizontal="left" vertical="top"/>
      <protection locked="0"/>
    </xf>
    <xf numFmtId="0" fontId="8" fillId="2" borderId="6" xfId="0" applyFont="1" applyFill="1" applyBorder="1" applyAlignment="1" applyProtection="1">
      <alignment horizontal="left" vertical="top"/>
      <protection locked="0"/>
    </xf>
    <xf numFmtId="164" fontId="8" fillId="3" borderId="7" xfId="0" applyNumberFormat="1" applyFont="1" applyFill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_Sheet1" xfId="3" xr:uid="{00000000-0005-0000-0000-000001000000}"/>
    <cellStyle name="Percent" xfId="2" builtinId="5"/>
    <cellStyle name="Обычный 2" xfId="1" xr:uid="{00000000-0005-0000-0000-000003000000}"/>
  </cellStyles>
  <dxfs count="8">
    <dxf>
      <numFmt numFmtId="165" formatCode="&quot;&quot;"/>
    </dxf>
    <dxf>
      <numFmt numFmtId="165" formatCode="&quot;&quot;"/>
    </dxf>
    <dxf>
      <numFmt numFmtId="165" formatCode="&quot;&quot;"/>
    </dxf>
    <dxf>
      <numFmt numFmtId="165" formatCode="&quot;&quot;"/>
    </dxf>
    <dxf>
      <numFmt numFmtId="165" formatCode="&quot;&quot;"/>
    </dxf>
    <dxf>
      <fill>
        <patternFill patternType="solid">
          <bgColor rgb="FFE18F8F"/>
        </patternFill>
      </fill>
    </dxf>
    <dxf>
      <fill>
        <patternFill>
          <bgColor rgb="FF99FFCC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99FFCC"/>
      <color rgb="FFE18F8F"/>
      <color rgb="FFFF8F8F"/>
      <color rgb="FFD2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3283322</xdr:colOff>
      <xdr:row>1</xdr:row>
      <xdr:rowOff>40342</xdr:rowOff>
    </xdr:from>
    <xdr:to>
      <xdr:col>3</xdr:col>
      <xdr:colOff>1997625</xdr:colOff>
      <xdr:row>5</xdr:row>
      <xdr:rowOff>362399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01D84F-12EA-C845-AD99-55DD3C481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263" y="141195"/>
          <a:ext cx="2023065" cy="1987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M38"/>
  <sheetViews>
    <sheetView showGridLines="0" tabSelected="1" zoomScale="85" zoomScaleNormal="85" zoomScaleSheetLayoutView="55" zoomScalePageLayoutView="17" workbookViewId="0">
      <selection activeCell="P11" sqref="P11"/>
    </sheetView>
  </sheetViews>
  <sheetFormatPr defaultColWidth="9.109375" defaultRowHeight="13.2" x14ac:dyDescent="0.25"/>
  <cols>
    <col min="1" max="1" width="2" style="1" customWidth="1"/>
    <col min="2" max="2" width="7.44140625" style="2" customWidth="1"/>
    <col min="3" max="3" width="45.77734375" style="2" bestFit="1" customWidth="1"/>
    <col min="4" max="4" width="43.88671875" style="2" bestFit="1" customWidth="1"/>
    <col min="5" max="5" width="53.5546875" style="2" bestFit="1" customWidth="1"/>
    <col min="6" max="6" width="13.44140625" style="2" customWidth="1"/>
    <col min="7" max="7" width="19" style="2" customWidth="1"/>
    <col min="8" max="8" width="22.21875" style="3" customWidth="1"/>
    <col min="9" max="9" width="9.77734375" style="3" customWidth="1"/>
    <col min="10" max="10" width="17.33203125" style="3" customWidth="1"/>
    <col min="11" max="11" width="19.33203125" style="3" customWidth="1"/>
    <col min="12" max="12" width="2" style="3" customWidth="1"/>
    <col min="13" max="13" width="3" style="3" customWidth="1"/>
  </cols>
  <sheetData>
    <row r="1" spans="2:13" ht="7.5" customHeight="1" thickBot="1" x14ac:dyDescent="0.3"/>
    <row r="2" spans="2:13" ht="36" thickBot="1" x14ac:dyDescent="0.65">
      <c r="B2" s="18"/>
      <c r="C2" s="36" t="s">
        <v>15</v>
      </c>
      <c r="D2" s="36"/>
      <c r="E2" s="36"/>
      <c r="F2" s="19"/>
      <c r="G2" s="19"/>
      <c r="H2" s="65"/>
      <c r="I2" s="65"/>
      <c r="J2" s="43"/>
      <c r="K2" s="43"/>
      <c r="L2" s="37"/>
      <c r="M2" s="11"/>
    </row>
    <row r="3" spans="2:13" ht="32.25" customHeight="1" thickBot="1" x14ac:dyDescent="0.3">
      <c r="B3" s="20"/>
      <c r="F3" s="12"/>
      <c r="G3" s="13" t="s">
        <v>14</v>
      </c>
      <c r="H3" s="74"/>
      <c r="I3" s="78"/>
      <c r="J3" s="78"/>
      <c r="K3" s="75"/>
      <c r="L3" s="4"/>
      <c r="M3" s="5"/>
    </row>
    <row r="4" spans="2:13" ht="32.25" customHeight="1" thickBot="1" x14ac:dyDescent="0.3">
      <c r="B4" s="20"/>
      <c r="C4" s="35" t="s">
        <v>10</v>
      </c>
      <c r="D4" s="35"/>
      <c r="E4" s="35"/>
      <c r="F4" s="12"/>
      <c r="G4" s="13" t="s">
        <v>7</v>
      </c>
      <c r="H4" s="74"/>
      <c r="I4" s="78"/>
      <c r="J4" s="78"/>
      <c r="K4" s="75"/>
      <c r="L4" s="4"/>
      <c r="M4" s="5"/>
    </row>
    <row r="5" spans="2:13" ht="32.25" customHeight="1" thickBot="1" x14ac:dyDescent="0.3">
      <c r="B5" s="20"/>
      <c r="C5" s="35" t="s">
        <v>11</v>
      </c>
      <c r="D5" s="35"/>
      <c r="E5" s="35"/>
      <c r="F5" s="12"/>
      <c r="G5" s="13" t="s">
        <v>12</v>
      </c>
      <c r="H5" s="74"/>
      <c r="I5" s="78"/>
      <c r="J5" s="78"/>
      <c r="K5" s="75"/>
      <c r="L5" s="4"/>
      <c r="M5" s="5"/>
    </row>
    <row r="6" spans="2:13" ht="32.25" customHeight="1" thickBot="1" x14ac:dyDescent="0.3">
      <c r="B6" s="20"/>
      <c r="C6" s="12"/>
      <c r="D6" s="12"/>
      <c r="E6" s="12"/>
      <c r="F6" s="12"/>
      <c r="G6" s="13" t="s">
        <v>0</v>
      </c>
      <c r="H6" s="74"/>
      <c r="I6" s="78"/>
      <c r="J6" s="78"/>
      <c r="K6" s="75"/>
      <c r="L6" s="4"/>
      <c r="M6" s="5"/>
    </row>
    <row r="7" spans="2:13" ht="24" customHeight="1" thickBot="1" x14ac:dyDescent="0.3">
      <c r="B7" s="20"/>
      <c r="C7" s="73" t="s">
        <v>8</v>
      </c>
      <c r="D7" s="73"/>
      <c r="E7" s="73"/>
      <c r="F7" s="73"/>
      <c r="G7" s="73"/>
      <c r="H7" s="32" t="b">
        <v>1</v>
      </c>
      <c r="I7" s="32"/>
      <c r="J7" s="32"/>
      <c r="K7" s="32"/>
      <c r="L7" s="6"/>
      <c r="M7" s="5"/>
    </row>
    <row r="8" spans="2:13" ht="48" customHeight="1" thickBot="1" x14ac:dyDescent="0.3">
      <c r="B8" s="14" t="s">
        <v>1</v>
      </c>
      <c r="C8" s="62" t="s">
        <v>16</v>
      </c>
      <c r="D8" s="62" t="s">
        <v>18</v>
      </c>
      <c r="E8" s="90" t="s">
        <v>28</v>
      </c>
      <c r="F8" s="16" t="s">
        <v>3</v>
      </c>
      <c r="G8" s="15" t="s">
        <v>2</v>
      </c>
      <c r="H8" s="16" t="s">
        <v>23</v>
      </c>
      <c r="I8" s="16" t="s">
        <v>4</v>
      </c>
      <c r="J8" s="16" t="s">
        <v>19</v>
      </c>
      <c r="K8" s="16" t="s">
        <v>20</v>
      </c>
      <c r="L8" s="6"/>
    </row>
    <row r="9" spans="2:13" ht="24" customHeight="1" x14ac:dyDescent="0.35">
      <c r="B9" s="23">
        <v>1</v>
      </c>
      <c r="C9" s="63" t="s">
        <v>24</v>
      </c>
      <c r="D9" s="64" t="s">
        <v>25</v>
      </c>
      <c r="E9" s="64" t="s">
        <v>27</v>
      </c>
      <c r="F9" s="25">
        <v>1</v>
      </c>
      <c r="G9" s="26" t="s">
        <v>26</v>
      </c>
      <c r="H9" s="45" t="s">
        <v>29</v>
      </c>
      <c r="I9" s="50">
        <f>8.66*F9</f>
        <v>8.66</v>
      </c>
      <c r="J9" s="50" t="s">
        <v>30</v>
      </c>
      <c r="K9" s="27" t="s">
        <v>31</v>
      </c>
      <c r="L9" s="7"/>
    </row>
    <row r="10" spans="2:13" ht="24" customHeight="1" x14ac:dyDescent="0.25">
      <c r="B10" s="23">
        <v>2</v>
      </c>
      <c r="C10" s="24"/>
      <c r="D10" s="24"/>
      <c r="E10" s="24"/>
      <c r="F10" s="25"/>
      <c r="G10" s="26"/>
      <c r="H10" s="45"/>
      <c r="I10" s="46">
        <f t="shared" ref="I10:I18" si="0">F10*H10</f>
        <v>0</v>
      </c>
      <c r="J10" s="46"/>
      <c r="K10" s="54"/>
      <c r="L10" s="7"/>
    </row>
    <row r="11" spans="2:13" ht="24" customHeight="1" x14ac:dyDescent="0.25">
      <c r="B11" s="23">
        <v>3</v>
      </c>
      <c r="C11" s="24"/>
      <c r="D11" s="24"/>
      <c r="E11" s="24"/>
      <c r="F11" s="25"/>
      <c r="G11" s="26"/>
      <c r="H11" s="45"/>
      <c r="I11" s="46">
        <f t="shared" si="0"/>
        <v>0</v>
      </c>
      <c r="J11" s="46"/>
      <c r="K11" s="54"/>
      <c r="L11" s="7"/>
    </row>
    <row r="12" spans="2:13" ht="24" customHeight="1" x14ac:dyDescent="0.25">
      <c r="B12" s="23">
        <v>4</v>
      </c>
      <c r="C12" s="24"/>
      <c r="D12" s="24"/>
      <c r="E12" s="24"/>
      <c r="F12" s="25"/>
      <c r="G12" s="26"/>
      <c r="H12" s="45"/>
      <c r="I12" s="46">
        <f t="shared" si="0"/>
        <v>0</v>
      </c>
      <c r="J12" s="46"/>
      <c r="K12" s="54"/>
      <c r="L12" s="7"/>
    </row>
    <row r="13" spans="2:13" ht="24" customHeight="1" x14ac:dyDescent="0.25">
      <c r="B13" s="23">
        <v>5</v>
      </c>
      <c r="C13" s="24"/>
      <c r="D13" s="24"/>
      <c r="E13" s="24"/>
      <c r="F13" s="25"/>
      <c r="G13" s="26"/>
      <c r="H13" s="45"/>
      <c r="I13" s="46">
        <f t="shared" si="0"/>
        <v>0</v>
      </c>
      <c r="J13" s="46"/>
      <c r="K13" s="54"/>
      <c r="L13" s="7"/>
    </row>
    <row r="14" spans="2:13" ht="24" customHeight="1" x14ac:dyDescent="0.25">
      <c r="B14" s="23">
        <v>6</v>
      </c>
      <c r="C14" s="24"/>
      <c r="D14" s="24"/>
      <c r="E14" s="24"/>
      <c r="F14" s="25"/>
      <c r="G14" s="26"/>
      <c r="H14" s="45"/>
      <c r="I14" s="46">
        <f t="shared" si="0"/>
        <v>0</v>
      </c>
      <c r="J14" s="46"/>
      <c r="K14" s="54"/>
      <c r="L14" s="7"/>
    </row>
    <row r="15" spans="2:13" ht="24" customHeight="1" x14ac:dyDescent="0.25">
      <c r="B15" s="23">
        <v>7</v>
      </c>
      <c r="C15" s="24"/>
      <c r="D15" s="24"/>
      <c r="E15" s="24"/>
      <c r="F15" s="25"/>
      <c r="G15" s="26"/>
      <c r="H15" s="45"/>
      <c r="I15" s="46">
        <f t="shared" si="0"/>
        <v>0</v>
      </c>
      <c r="J15" s="46"/>
      <c r="K15" s="54"/>
      <c r="L15" s="7"/>
    </row>
    <row r="16" spans="2:13" ht="24" customHeight="1" x14ac:dyDescent="0.25">
      <c r="B16" s="23">
        <v>8</v>
      </c>
      <c r="C16" s="24"/>
      <c r="D16" s="24"/>
      <c r="E16" s="24"/>
      <c r="F16" s="25"/>
      <c r="G16" s="26"/>
      <c r="H16" s="45"/>
      <c r="I16" s="46">
        <f t="shared" si="0"/>
        <v>0</v>
      </c>
      <c r="J16" s="46"/>
      <c r="K16" s="54"/>
      <c r="L16" s="7"/>
    </row>
    <row r="17" spans="2:13" ht="24" customHeight="1" x14ac:dyDescent="0.25">
      <c r="B17" s="23">
        <v>9</v>
      </c>
      <c r="C17" s="24"/>
      <c r="D17" s="24"/>
      <c r="E17" s="24"/>
      <c r="F17" s="25"/>
      <c r="G17" s="26"/>
      <c r="H17" s="45"/>
      <c r="I17" s="46">
        <f t="shared" si="0"/>
        <v>0</v>
      </c>
      <c r="J17" s="46"/>
      <c r="K17" s="54"/>
      <c r="L17" s="7"/>
    </row>
    <row r="18" spans="2:13" ht="24" customHeight="1" thickBot="1" x14ac:dyDescent="0.3">
      <c r="B18" s="55">
        <v>10</v>
      </c>
      <c r="C18" s="56"/>
      <c r="D18" s="56"/>
      <c r="E18" s="56"/>
      <c r="F18" s="57"/>
      <c r="G18" s="58"/>
      <c r="H18" s="59"/>
      <c r="I18" s="60">
        <f t="shared" si="0"/>
        <v>0</v>
      </c>
      <c r="J18" s="60"/>
      <c r="K18" s="61"/>
      <c r="L18" s="7"/>
    </row>
    <row r="19" spans="2:13" ht="12" customHeight="1" thickBot="1" x14ac:dyDescent="0.35">
      <c r="B19" s="51"/>
      <c r="C19" s="52"/>
      <c r="D19" s="52"/>
      <c r="E19" s="52"/>
      <c r="F19" s="17"/>
      <c r="G19" s="53"/>
      <c r="H19" s="28"/>
      <c r="I19" s="28"/>
      <c r="J19" s="28"/>
      <c r="K19" s="28"/>
      <c r="L19" s="8"/>
      <c r="M19"/>
    </row>
    <row r="20" spans="2:13" ht="16.2" thickBot="1" x14ac:dyDescent="0.35">
      <c r="B20" s="66" t="s">
        <v>9</v>
      </c>
      <c r="C20" s="67"/>
      <c r="D20" s="41"/>
      <c r="E20" s="41"/>
      <c r="F20" s="21"/>
      <c r="G20" s="29" t="s">
        <v>5</v>
      </c>
      <c r="H20" s="76">
        <f>SUM(I9:I18)</f>
        <v>8.66</v>
      </c>
      <c r="I20" s="77"/>
      <c r="J20" s="47"/>
      <c r="K20" s="47"/>
      <c r="L20" s="8"/>
      <c r="M20"/>
    </row>
    <row r="21" spans="2:13" ht="12" customHeight="1" thickBot="1" x14ac:dyDescent="0.35">
      <c r="B21" s="68"/>
      <c r="C21" s="69"/>
      <c r="D21" s="41"/>
      <c r="E21" s="41"/>
      <c r="F21" s="21"/>
      <c r="G21" s="17"/>
      <c r="H21" s="28"/>
      <c r="I21" s="28"/>
      <c r="J21" s="28"/>
      <c r="K21" s="28"/>
      <c r="L21" s="8"/>
      <c r="M21"/>
    </row>
    <row r="22" spans="2:13" ht="16.2" thickBot="1" x14ac:dyDescent="0.35">
      <c r="B22" s="68"/>
      <c r="C22" s="69"/>
      <c r="D22" s="41"/>
      <c r="E22" s="41"/>
      <c r="F22" s="21"/>
      <c r="G22" s="29" t="s">
        <v>6</v>
      </c>
      <c r="H22" s="76">
        <f>H20*0.18</f>
        <v>1.5588</v>
      </c>
      <c r="I22" s="77"/>
      <c r="J22" s="47"/>
      <c r="K22" s="47"/>
      <c r="L22" s="8"/>
      <c r="M22"/>
    </row>
    <row r="23" spans="2:13" ht="12" customHeight="1" thickBot="1" x14ac:dyDescent="0.35">
      <c r="B23" s="68"/>
      <c r="C23" s="69"/>
      <c r="D23" s="41"/>
      <c r="E23" s="41"/>
      <c r="F23" s="21"/>
      <c r="G23" s="17"/>
      <c r="H23" s="28"/>
      <c r="I23" s="28"/>
      <c r="J23" s="28"/>
      <c r="K23" s="28"/>
      <c r="L23" s="8"/>
      <c r="M23"/>
    </row>
    <row r="24" spans="2:13" ht="16.2" thickBot="1" x14ac:dyDescent="0.35">
      <c r="B24" s="68"/>
      <c r="C24" s="69"/>
      <c r="D24" s="41"/>
      <c r="E24" s="41"/>
      <c r="F24" s="21"/>
      <c r="G24" s="29" t="s">
        <v>13</v>
      </c>
      <c r="H24" s="88">
        <f>H22+H20</f>
        <v>10.2188</v>
      </c>
      <c r="I24" s="89"/>
      <c r="J24" s="48"/>
      <c r="K24" s="48"/>
      <c r="L24" s="8"/>
      <c r="M24"/>
    </row>
    <row r="25" spans="2:13" ht="12" customHeight="1" thickBot="1" x14ac:dyDescent="0.35">
      <c r="B25" s="68"/>
      <c r="C25" s="69"/>
      <c r="D25" s="41"/>
      <c r="E25" s="41"/>
      <c r="F25" s="21"/>
      <c r="G25" s="29"/>
      <c r="H25" s="28"/>
      <c r="I25" s="28"/>
      <c r="J25" s="28"/>
      <c r="K25" s="28"/>
      <c r="L25" s="8"/>
      <c r="M25"/>
    </row>
    <row r="26" spans="2:13" ht="16.2" thickBot="1" x14ac:dyDescent="0.35">
      <c r="B26" s="68"/>
      <c r="C26" s="69"/>
      <c r="D26" s="41"/>
      <c r="E26" s="41"/>
      <c r="F26" s="21"/>
      <c r="G26" s="29" t="s">
        <v>21</v>
      </c>
      <c r="H26" s="33"/>
      <c r="I26" s="34"/>
      <c r="J26" s="44"/>
      <c r="K26" s="49"/>
      <c r="L26" s="8"/>
      <c r="M26"/>
    </row>
    <row r="27" spans="2:13" ht="12" customHeight="1" thickBot="1" x14ac:dyDescent="0.35">
      <c r="B27" s="68"/>
      <c r="C27" s="69"/>
      <c r="D27" s="41"/>
      <c r="E27" s="41"/>
      <c r="F27" s="21"/>
      <c r="G27" s="29"/>
      <c r="H27" s="22"/>
      <c r="I27" s="30"/>
      <c r="J27" s="30"/>
      <c r="K27" s="30"/>
      <c r="L27" s="8"/>
      <c r="M27"/>
    </row>
    <row r="28" spans="2:13" ht="16.2" thickBot="1" x14ac:dyDescent="0.35">
      <c r="B28" s="68"/>
      <c r="C28" s="69"/>
      <c r="D28" s="41"/>
      <c r="E28" s="41"/>
      <c r="F28" s="21"/>
      <c r="G28" s="29" t="s">
        <v>22</v>
      </c>
      <c r="H28" s="74"/>
      <c r="I28" s="75"/>
      <c r="J28" s="44"/>
      <c r="K28" s="49"/>
      <c r="L28" s="8"/>
      <c r="M28"/>
    </row>
    <row r="29" spans="2:13" ht="12" customHeight="1" thickBot="1" x14ac:dyDescent="0.35">
      <c r="B29" s="68"/>
      <c r="C29" s="69"/>
      <c r="D29" s="41"/>
      <c r="E29" s="41"/>
      <c r="F29" s="21"/>
      <c r="G29" s="29"/>
      <c r="H29" s="22"/>
      <c r="I29" s="30"/>
      <c r="J29" s="30"/>
      <c r="K29" s="30"/>
      <c r="L29" s="8"/>
      <c r="M29"/>
    </row>
    <row r="30" spans="2:13" ht="15.6" x14ac:dyDescent="0.3">
      <c r="B30" s="68"/>
      <c r="C30" s="69"/>
      <c r="D30" s="41"/>
      <c r="E30" s="41"/>
      <c r="F30" s="21"/>
      <c r="G30" s="29" t="s">
        <v>17</v>
      </c>
      <c r="H30" s="79"/>
      <c r="I30" s="80"/>
      <c r="J30" s="80"/>
      <c r="K30" s="81"/>
      <c r="L30" s="8"/>
      <c r="M30"/>
    </row>
    <row r="31" spans="2:13" ht="12" customHeight="1" x14ac:dyDescent="0.3">
      <c r="B31" s="68"/>
      <c r="C31" s="69"/>
      <c r="D31" s="41"/>
      <c r="E31" s="41"/>
      <c r="F31" s="21"/>
      <c r="G31" s="29"/>
      <c r="H31" s="82"/>
      <c r="I31" s="83"/>
      <c r="J31" s="83"/>
      <c r="K31" s="84"/>
      <c r="L31" s="8"/>
      <c r="M31"/>
    </row>
    <row r="32" spans="2:13" ht="12" customHeight="1" x14ac:dyDescent="0.3">
      <c r="B32" s="68"/>
      <c r="C32" s="69"/>
      <c r="D32" s="41"/>
      <c r="E32" s="41"/>
      <c r="F32" s="21"/>
      <c r="G32" s="29"/>
      <c r="H32" s="82"/>
      <c r="I32" s="83"/>
      <c r="J32" s="83"/>
      <c r="K32" s="84"/>
      <c r="L32" s="8"/>
      <c r="M32"/>
    </row>
    <row r="33" spans="1:13" ht="12" customHeight="1" x14ac:dyDescent="0.25">
      <c r="B33" s="68"/>
      <c r="C33" s="69"/>
      <c r="D33" s="41"/>
      <c r="E33" s="41"/>
      <c r="F33" s="31"/>
      <c r="G33" s="31"/>
      <c r="H33" s="82"/>
      <c r="I33" s="83"/>
      <c r="J33" s="83"/>
      <c r="K33" s="84"/>
      <c r="L33" s="8"/>
      <c r="M33"/>
    </row>
    <row r="34" spans="1:13" ht="12" customHeight="1" x14ac:dyDescent="0.25">
      <c r="B34" s="68"/>
      <c r="C34" s="69"/>
      <c r="D34" s="41"/>
      <c r="E34" s="41"/>
      <c r="F34" s="31"/>
      <c r="G34" s="31"/>
      <c r="H34" s="82"/>
      <c r="I34" s="83"/>
      <c r="J34" s="83"/>
      <c r="K34" s="84"/>
      <c r="L34" s="8"/>
      <c r="M34"/>
    </row>
    <row r="35" spans="1:13" ht="15.75" customHeight="1" thickBot="1" x14ac:dyDescent="0.3">
      <c r="B35" s="68"/>
      <c r="C35" s="69"/>
      <c r="D35" s="41"/>
      <c r="E35" s="41"/>
      <c r="F35" s="31"/>
      <c r="G35" s="31"/>
      <c r="H35" s="85"/>
      <c r="I35" s="86"/>
      <c r="J35" s="86"/>
      <c r="K35" s="87"/>
      <c r="L35" s="8"/>
      <c r="M35"/>
    </row>
    <row r="36" spans="1:13" ht="61.5" customHeight="1" thickBot="1" x14ac:dyDescent="0.35">
      <c r="B36" s="70"/>
      <c r="C36" s="71"/>
      <c r="D36" s="42"/>
      <c r="E36" s="42"/>
      <c r="F36" s="38"/>
      <c r="G36" s="38"/>
      <c r="H36" s="72"/>
      <c r="I36" s="72"/>
      <c r="J36" s="40"/>
      <c r="K36" s="40"/>
      <c r="L36" s="39"/>
      <c r="M36"/>
    </row>
    <row r="37" spans="1:13" s="3" customFormat="1" ht="15" x14ac:dyDescent="0.25">
      <c r="A37" s="1"/>
      <c r="B37" s="2"/>
      <c r="C37" s="2"/>
      <c r="D37" s="2"/>
      <c r="E37" s="2"/>
      <c r="F37" s="10"/>
      <c r="G37" s="9"/>
    </row>
    <row r="38" spans="1:13" s="3" customFormat="1" ht="15" x14ac:dyDescent="0.25">
      <c r="A38" s="1"/>
      <c r="B38" s="2"/>
      <c r="C38" s="2"/>
      <c r="D38" s="2"/>
      <c r="E38" s="2"/>
      <c r="F38" s="10"/>
      <c r="G38" s="9"/>
    </row>
  </sheetData>
  <sheetProtection insertHyperlinks="0" selectLockedCells="1" autoFilter="0"/>
  <mergeCells count="13">
    <mergeCell ref="H2:I2"/>
    <mergeCell ref="B20:C36"/>
    <mergeCell ref="H36:I36"/>
    <mergeCell ref="C7:G7"/>
    <mergeCell ref="H28:I28"/>
    <mergeCell ref="H20:I20"/>
    <mergeCell ref="H22:I22"/>
    <mergeCell ref="H6:K6"/>
    <mergeCell ref="H30:K35"/>
    <mergeCell ref="H4:K4"/>
    <mergeCell ref="H3:K3"/>
    <mergeCell ref="H5:K5"/>
    <mergeCell ref="H24:I24"/>
  </mergeCells>
  <conditionalFormatting sqref="H9:H18">
    <cfRule type="cellIs" dxfId="7" priority="260" operator="equal">
      <formula>""</formula>
    </cfRule>
    <cfRule type="cellIs" dxfId="6" priority="261" operator="equal">
      <formula>(MIN(#REF!,#REF!,#REF!,#REF!,$H9))</formula>
    </cfRule>
    <cfRule type="cellIs" dxfId="5" priority="262" operator="equal">
      <formula>(MAX(#REF!,#REF!,#REF!,#REF!,$H9))</formula>
    </cfRule>
  </conditionalFormatting>
  <conditionalFormatting sqref="H3:H6">
    <cfRule type="cellIs" dxfId="4" priority="39" operator="equal">
      <formula>0</formula>
    </cfRule>
  </conditionalFormatting>
  <conditionalFormatting sqref="H26:K28">
    <cfRule type="cellIs" dxfId="3" priority="24" operator="equal">
      <formula>0</formula>
    </cfRule>
  </conditionalFormatting>
  <conditionalFormatting sqref="H30">
    <cfRule type="cellIs" dxfId="2" priority="23" operator="equal">
      <formula>0</formula>
    </cfRule>
  </conditionalFormatting>
  <conditionalFormatting sqref="H36:K36">
    <cfRule type="cellIs" dxfId="1" priority="247" operator="equal">
      <formula>0</formula>
    </cfRule>
  </conditionalFormatting>
  <conditionalFormatting sqref="H28:K28">
    <cfRule type="cellIs" dxfId="0" priority="1" operator="equal">
      <formula>0</formula>
    </cfRule>
  </conditionalFormatting>
  <dataValidations count="1">
    <dataValidation showInputMessage="1" showErrorMessage="1" error="Qiymət ancaq rəqəm şəklində mümkündür" sqref="H9:H18" xr:uid="{00000000-0002-0000-0000-000001000000}"/>
  </dataValidations>
  <printOptions horizontalCentered="1" verticalCentered="1"/>
  <pageMargins left="0.25" right="0.25" top="0.75" bottom="0.75" header="0.3" footer="0.3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TF</vt:lpstr>
      <vt:lpstr>TF!Print_Area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Rashad I. Ilyasov</dc:creator>
  <cp:lastModifiedBy>Zeyneb Alamova</cp:lastModifiedBy>
  <cp:lastPrinted>2023-11-01T10:50:39Z</cp:lastPrinted>
  <dcterms:created xsi:type="dcterms:W3CDTF">2017-03-07T13:30:28Z</dcterms:created>
  <dcterms:modified xsi:type="dcterms:W3CDTF">2026-04-20T11:00:06Z</dcterms:modified>
</cp:coreProperties>
</file>