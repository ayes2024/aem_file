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zeyneb.alamova\Desktop\"/>
    </mc:Choice>
  </mc:AlternateContent>
  <xr:revisionPtr revIDLastSave="0" documentId="13_ncr:1_{ADBB5278-2DAE-444D-93E2-E78C93E5A8F2}" xr6:coauthVersionLast="47" xr6:coauthVersionMax="47" xr10:uidLastSave="{00000000-0000-0000-0000-000000000000}"/>
  <bookViews>
    <workbookView xWindow="-108" yWindow="-108" windowWidth="23256" windowHeight="12456" xr2:uid="{BAA13343-A24A-4310-8AA8-55A63DBCD21A}"/>
  </bookViews>
  <sheets>
    <sheet name="Sheet1" sheetId="1" r:id="rId1"/>
    <sheet name="Sheet2" sheetId="2" r:id="rId2"/>
    <sheet name="Sheet3" sheetId="3" r:id="rId3"/>
  </sheets>
  <definedNames>
    <definedName name="_xlnm._FilterDatabase" localSheetId="0" hidden="1">Sheet1!$A$1:$E$1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45" i="1" l="1"/>
  <c r="H33" i="1"/>
  <c r="H3" i="1"/>
  <c r="H2" i="1"/>
  <c r="H42" i="1"/>
  <c r="H44" i="1"/>
  <c r="H4" i="1"/>
  <c r="H5" i="1"/>
  <c r="H6" i="1"/>
  <c r="H7" i="1"/>
  <c r="H9" i="1"/>
  <c r="H10" i="1"/>
  <c r="H11" i="1"/>
  <c r="H12" i="1"/>
  <c r="H13" i="1"/>
  <c r="H14" i="1"/>
  <c r="H15" i="1"/>
  <c r="H16" i="1"/>
  <c r="H17" i="1"/>
  <c r="H18" i="1"/>
  <c r="H19" i="1"/>
  <c r="H20" i="1"/>
  <c r="H21" i="1"/>
  <c r="H22" i="1"/>
  <c r="H23" i="1"/>
  <c r="H24" i="1"/>
  <c r="H25" i="1"/>
  <c r="H26" i="1"/>
  <c r="H27" i="1"/>
  <c r="H28" i="1"/>
  <c r="H29" i="1"/>
  <c r="H30" i="1"/>
  <c r="H31" i="1"/>
  <c r="H32" i="1"/>
  <c r="H34" i="1"/>
  <c r="H35" i="1"/>
  <c r="H36" i="1"/>
  <c r="H37" i="1"/>
  <c r="H38" i="1"/>
  <c r="H39" i="1"/>
  <c r="H40" i="1"/>
  <c r="H41" i="1"/>
  <c r="H43" i="1"/>
  <c r="G46" i="1" l="1"/>
  <c r="G47" i="1" s="1"/>
  <c r="G48" i="1" s="1"/>
</calcChain>
</file>

<file path=xl/sharedStrings.xml><?xml version="1.0" encoding="utf-8"?>
<sst xmlns="http://schemas.openxmlformats.org/spreadsheetml/2006/main" count="273" uniqueCount="209">
  <si>
    <t>№</t>
  </si>
  <si>
    <t>Məhsul</t>
  </si>
  <si>
    <t>Texniki xüsusiyyətləri</t>
  </si>
  <si>
    <t xml:space="preserve">Çoxlu girişə malik çevirici </t>
  </si>
  <si>
    <t>min. 1 x USB Type-C, min. 1 x USB 3.0, 1 x HDMI Port, 1 x RJ45 (1000M) to type c converter</t>
  </si>
  <si>
    <t>Label printer</t>
  </si>
  <si>
    <t>Şarj oluna bilsin
Çap texnologiyası: Termal transfer və ya ekvivalent texnologiya
Çap qətnaməsi: Minimum 180 dpi
Çap sürəti: Minimum 6 mm/s
Dəstəklənən etiket lentinin eni: Minimum 6 mm – maksimum 18 mm
Dəstəklənən etiket növü: Öz-yapışqanlı, dəyişdirilə bilən lent kartric sistemi</t>
  </si>
  <si>
    <t>Label printer katricləri</t>
  </si>
  <si>
    <t>Alınacaq label printerə uyğun</t>
  </si>
  <si>
    <t>Uzadıcı</t>
  </si>
  <si>
    <t>Amerkan tipli başlıqdan ənənəvi başlığa çevirici</t>
  </si>
  <si>
    <t>Əriməyən material və lazımi təhlükəsizlik tələblərinə cavab verən</t>
  </si>
  <si>
    <t>Minimum 6 girişə, 5 metr uzunluğa və qabayıb/açma düyməsinə malik olmalı. Əriməyən material və lazımi təhlükəsizlik tələblərinə cavab verən</t>
  </si>
  <si>
    <t>Satınalma Texniki Tələbi: Simsiz Mikrofon Sistemi (5 mikrofon)</t>
  </si>
  <si>
    <t>1. Ümumi Təsvir:</t>
  </si>
  <si>
    <r>
      <t xml:space="preserve">Bu satınalma, </t>
    </r>
    <r>
      <rPr>
        <b/>
        <sz val="11"/>
        <color theme="1"/>
        <rFont val="Aptos Narrow"/>
        <family val="2"/>
        <scheme val="minor"/>
      </rPr>
      <t>5 simsiz mikrofonun (2 əl mikrofonu, 3 yaxa mikrofonu)</t>
    </r>
    <r>
      <rPr>
        <sz val="11"/>
        <color theme="1"/>
        <rFont val="Aptos Narrow"/>
        <family val="2"/>
        <scheme val="minor"/>
      </rPr>
      <t xml:space="preserve"> eyni anda işləməsinə imkan verən yüksək keyfiyyətli bir simsiz mikrofon sisteminin alınmasını hədəfləyir. Bu sistem, böyük tədbirlər, seminarlar, təqdimatlar və s. üçün tələb olunur. Sistem eyni zamanda çoxsaylı kanallarla çoxlu mikrofonları idarə etməli və səs keyfiyyətini qoruyaraq yüksək etibarlılığa malik olmalıdır.</t>
    </r>
  </si>
  <si>
    <t>2. Təqdim olunacaq Təchizat:</t>
  </si>
  <si>
    <t>Təchizatçıdan tələb olunur ki, təqdim olunan sistem aşağıdakı xüsusiyyətləri təmin etsin:</t>
  </si>
  <si>
    <r>
      <t>Mikrofon sayısı</t>
    </r>
    <r>
      <rPr>
        <sz val="11"/>
        <color theme="1"/>
        <rFont val="Aptos Narrow"/>
        <family val="2"/>
        <scheme val="minor"/>
      </rPr>
      <t>: 5 mikrofonu eyni anda dəstəkləməlidir (2 əl mikrofonu və 3 yaxa mikrofonu).</t>
    </r>
  </si>
  <si>
    <r>
      <t>Çox kanallı idarəetmə</t>
    </r>
    <r>
      <rPr>
        <sz val="11"/>
        <color theme="1"/>
        <rFont val="Aptos Narrow"/>
        <family val="2"/>
        <scheme val="minor"/>
      </rPr>
      <t>: Birləşmiş kontroller və çox kanallı sistem (5 və ya daha çox kanal) ilə bütün mikrofonları idarə edə bilməli.</t>
    </r>
  </si>
  <si>
    <r>
      <t>Simsiz əlaqə</t>
    </r>
    <r>
      <rPr>
        <sz val="11"/>
        <color theme="1"/>
        <rFont val="Aptos Narrow"/>
        <family val="2"/>
        <scheme val="minor"/>
      </rPr>
      <t>: Simsiz bağlantı, minimum 100 metrə qədər stabil əlaqə təmin etməlidir (həddindən artıq siqnal qarışıqlığı olmadan).</t>
    </r>
  </si>
  <si>
    <r>
      <t>Səs keyfiyyəti</t>
    </r>
    <r>
      <rPr>
        <sz val="11"/>
        <color theme="1"/>
        <rFont val="Aptos Narrow"/>
        <family val="2"/>
        <scheme val="minor"/>
      </rPr>
      <t>: Mükəmməl səs keyfiyyəti təmin edilməli, həmçinin dinamik diapazonu geniş olmalıdır (məsələn, 50 Hz-dən 20 kHz-ə qədər).</t>
    </r>
  </si>
  <si>
    <r>
      <t>Rəqəmsal ötürmə</t>
    </r>
    <r>
      <rPr>
        <sz val="11"/>
        <color theme="1"/>
        <rFont val="Aptos Narrow"/>
        <family val="2"/>
        <scheme val="minor"/>
      </rPr>
      <t>: Rəqəmsal siqnal ötürmə texnologiyası istifadə edilməlidir (analoqdan rəqəmsala keçid).</t>
    </r>
  </si>
  <si>
    <r>
      <t>Kanalların genişlənməsi</t>
    </r>
    <r>
      <rPr>
        <sz val="11"/>
        <color theme="1"/>
        <rFont val="Aptos Narrow"/>
        <family val="2"/>
        <scheme val="minor"/>
      </rPr>
      <t>: Sistemin əlavə kanallar və mikrofonlar əlavə etmək imkanı olmalıdır (məsələn, 8 kanal və ya daha çox).</t>
    </r>
  </si>
  <si>
    <r>
      <t>Batareya ömrü</t>
    </r>
    <r>
      <rPr>
        <sz val="11"/>
        <color theme="1"/>
        <rFont val="Aptos Narrow"/>
        <family val="2"/>
        <scheme val="minor"/>
      </rPr>
      <t>: Mikrofonlar ən azı 8-10 saat davamlı işləməlidir.</t>
    </r>
  </si>
  <si>
    <t>3. Xüsusiyyətlər:</t>
  </si>
  <si>
    <r>
      <t>Simsiz Əl Mikrofonları</t>
    </r>
    <r>
      <rPr>
        <sz val="11"/>
        <color theme="1"/>
        <rFont val="Aptos Narrow"/>
        <family val="2"/>
        <scheme val="minor"/>
      </rPr>
      <t>: 2 ədəd əl mikrofonu (dinamik və ya kondensator tipində) təmin edilməlidir.</t>
    </r>
  </si>
  <si>
    <r>
      <t>Simsiz Yaxa Mikrofonları (Lavalier)</t>
    </r>
    <r>
      <rPr>
        <sz val="11"/>
        <color theme="1"/>
        <rFont val="Aptos Narrow"/>
        <family val="2"/>
        <scheme val="minor"/>
      </rPr>
      <t>: 3 ədəd yaxa mikrofonu (lavaliere) təmin edilməlidir.</t>
    </r>
  </si>
  <si>
    <r>
      <t>Kontroller</t>
    </r>
    <r>
      <rPr>
        <sz val="11"/>
        <color theme="1"/>
        <rFont val="Aptos Narrow"/>
        <family val="2"/>
        <scheme val="minor"/>
      </rPr>
      <t>: 1 ədəd, çox kanallı sistem (5 və ya daha çox kanal dəstəyi olan) kontroller olmalıdır.</t>
    </r>
  </si>
  <si>
    <r>
      <t>Siqnal Gücü</t>
    </r>
    <r>
      <rPr>
        <sz val="11"/>
        <color theme="1"/>
        <rFont val="Aptos Narrow"/>
        <family val="2"/>
        <scheme val="minor"/>
      </rPr>
      <t>: Yüksək siqnal gücü və etibarlılıq təmin edilməli, siqnal kəsilmələri və qarışıqlığı olmamalıdır.</t>
    </r>
  </si>
  <si>
    <r>
      <t>Qurulum və İdarəetmə</t>
    </r>
    <r>
      <rPr>
        <sz val="11"/>
        <color theme="1"/>
        <rFont val="Aptos Narrow"/>
        <family val="2"/>
        <scheme val="minor"/>
      </rPr>
      <t>: Sistem sadə qurulmalı və asan idarəetməli olmalıdır. Avtomatik kanal seçimi və ya təkrarlanan kanallarda müdaxilə olmamalıdır.</t>
    </r>
  </si>
  <si>
    <r>
      <t>Frekanstan seçmə</t>
    </r>
    <r>
      <rPr>
        <sz val="11"/>
        <color theme="1"/>
        <rFont val="Aptos Narrow"/>
        <family val="2"/>
        <scheme val="minor"/>
      </rPr>
      <t>: Frekans seçmə funksiyası, müxtəlif frekans aralığında işləklilik təmin etməlidir (vəzifə tələblərinə uyğun olaraq).</t>
    </r>
  </si>
  <si>
    <r>
      <t>Genişlənə bilən</t>
    </r>
    <r>
      <rPr>
        <sz val="11"/>
        <color theme="1"/>
        <rFont val="Aptos Narrow"/>
        <family val="2"/>
        <scheme val="minor"/>
      </rPr>
      <t>: Sistem əlavə mikrofonlar və avadanlıqlar ilə genişlənə bilməli.</t>
    </r>
  </si>
  <si>
    <t>4. Texniki Şərtlər:</t>
  </si>
  <si>
    <r>
      <t>Mikrofon Tipi</t>
    </r>
    <r>
      <rPr>
        <sz val="11"/>
        <color theme="1"/>
        <rFont val="Aptos Narrow"/>
        <family val="2"/>
        <scheme val="minor"/>
      </rPr>
      <t>: Lavalier (yaxa mikrofonları) və əl mikrofonları.</t>
    </r>
  </si>
  <si>
    <r>
      <t>Frekans aralığı</t>
    </r>
    <r>
      <rPr>
        <sz val="11"/>
        <color theme="1"/>
        <rFont val="Aptos Narrow"/>
        <family val="2"/>
        <scheme val="minor"/>
      </rPr>
      <t>: 500-800 MHz (İstifadə olunan ölkənin frekans tələblərinə uyğun olmalıdır).</t>
    </r>
  </si>
  <si>
    <r>
      <t>Batareya növü</t>
    </r>
    <r>
      <rPr>
        <sz val="11"/>
        <color theme="1"/>
        <rFont val="Aptos Narrow"/>
        <family val="2"/>
        <scheme val="minor"/>
      </rPr>
      <t>: Li-ion və ya AA batareya ilə işləyən uzun ömürlü batareyalar.</t>
    </r>
  </si>
  <si>
    <r>
      <t>İdarəetmə interfeysi</t>
    </r>
    <r>
      <rPr>
        <sz val="11"/>
        <color theme="1"/>
        <rFont val="Aptos Narrow"/>
        <family val="2"/>
        <scheme val="minor"/>
      </rPr>
      <t>: LCD ekran və ya LED göstərici ilə mikrofon siqnalının izlənməsi.</t>
    </r>
  </si>
  <si>
    <r>
      <t>Çatdırılma vaxtı</t>
    </r>
    <r>
      <rPr>
        <sz val="11"/>
        <color theme="1"/>
        <rFont val="Aptos Narrow"/>
        <family val="2"/>
        <scheme val="minor"/>
      </rPr>
      <t>: Təchizatçı 15 iş günü ərzində sistemin təhvil verilməsini təmin etməlidir.</t>
    </r>
  </si>
  <si>
    <r>
      <t>Quraşdırma və Təlim</t>
    </r>
    <r>
      <rPr>
        <sz val="11"/>
        <color theme="1"/>
        <rFont val="Aptos Narrow"/>
        <family val="2"/>
        <scheme val="minor"/>
      </rPr>
      <t>: Təchizatçı, mikrofon sisteminin quraşdırılmasını və işçilərə idarəetmə üzrə təlimat verilməsini təmin etməlidir.</t>
    </r>
  </si>
  <si>
    <t>5. Əlavə Tələblər:</t>
  </si>
  <si>
    <r>
      <t>Texniki Dəstək</t>
    </r>
    <r>
      <rPr>
        <sz val="11"/>
        <color theme="1"/>
        <rFont val="Aptos Narrow"/>
        <family val="2"/>
        <scheme val="minor"/>
      </rPr>
      <t>: Təchizatçıdan texniki dəstək xidmətləri təmin edilməli, məhsulun quraşdırılması və hər hansı bir problem zamanı yardım göstərilməlidir.</t>
    </r>
  </si>
  <si>
    <r>
      <t>Təhlükəsizlik və Uyğunluq</t>
    </r>
    <r>
      <rPr>
        <sz val="11"/>
        <color theme="1"/>
        <rFont val="Aptos Narrow"/>
        <family val="2"/>
        <scheme val="minor"/>
      </rPr>
      <t>: Məhsul bütün təhlükəsizlik və sağlamlıq standartlarına uyğun olmalıdır (CE, FCC və digər müvafiq sertifikatlar).</t>
    </r>
  </si>
  <si>
    <t>6. Qiymətləndirmə Kriteriyaları:</t>
  </si>
  <si>
    <t>Təchizatçıların qiymətləndirilməsi aşağıdakı kriteriyalar üzrə aparılacaq:</t>
  </si>
  <si>
    <r>
      <t>Sistem keyfiyyəti</t>
    </r>
    <r>
      <rPr>
        <sz val="11"/>
        <color theme="1"/>
        <rFont val="Aptos Narrow"/>
        <family val="2"/>
        <scheme val="minor"/>
      </rPr>
      <t xml:space="preserve"> (audio keyfiyyəti və siqnal ötürülməsi).</t>
    </r>
  </si>
  <si>
    <r>
      <t>Fiyat və dəyər</t>
    </r>
    <r>
      <rPr>
        <sz val="11"/>
        <color theme="1"/>
        <rFont val="Aptos Narrow"/>
        <family val="2"/>
        <scheme val="minor"/>
      </rPr>
      <t xml:space="preserve"> (əlverişli qiymət və yüksək keyfiyyət).</t>
    </r>
  </si>
  <si>
    <r>
      <t>Təchizat müddəti</t>
    </r>
    <r>
      <rPr>
        <sz val="11"/>
        <color theme="1"/>
        <rFont val="Aptos Narrow"/>
        <family val="2"/>
        <scheme val="minor"/>
      </rPr>
      <t xml:space="preserve"> (sistemin təhvil verilmə vaxtı).</t>
    </r>
  </si>
  <si>
    <r>
      <t>Zəmanət və texniki dəstək</t>
    </r>
    <r>
      <rPr>
        <sz val="11"/>
        <color theme="1"/>
        <rFont val="Aptos Narrow"/>
        <family val="2"/>
        <scheme val="minor"/>
      </rPr>
      <t>.</t>
    </r>
  </si>
  <si>
    <r>
      <t>İstifadəçi rəyləri və tövsiyələr</t>
    </r>
    <r>
      <rPr>
        <sz val="11"/>
        <color theme="1"/>
        <rFont val="Aptos Narrow"/>
        <family val="2"/>
        <scheme val="minor"/>
      </rPr>
      <t>.</t>
    </r>
  </si>
  <si>
    <r>
      <t>Zəmanət şərtləri</t>
    </r>
    <r>
      <rPr>
        <sz val="11"/>
        <color theme="1"/>
        <rFont val="Aptos Narrow"/>
        <family val="2"/>
        <scheme val="minor"/>
      </rPr>
      <t xml:space="preserve"> və </t>
    </r>
    <r>
      <rPr>
        <b/>
        <sz val="11"/>
        <color theme="1"/>
        <rFont val="Aptos Narrow"/>
        <family val="2"/>
        <scheme val="minor"/>
      </rPr>
      <t>texniki dəstək xidmətləri</t>
    </r>
    <r>
      <rPr>
        <sz val="11"/>
        <color theme="1"/>
        <rFont val="Aptos Narrow"/>
        <family val="2"/>
        <scheme val="minor"/>
      </rPr>
      <t>.</t>
    </r>
  </si>
  <si>
    <t>Nümunə Modelleri:</t>
  </si>
  <si>
    <r>
      <t>Sennheiser EW 500 G4-935-PACK</t>
    </r>
    <r>
      <rPr>
        <sz val="11"/>
        <color theme="1"/>
        <rFont val="Aptos Narrow"/>
        <family val="2"/>
        <scheme val="minor"/>
      </rPr>
      <t xml:space="preserve"> (Çox kanallı sistem, 5 mikrofon dəstəyi).</t>
    </r>
  </si>
  <si>
    <r>
      <t>Shure ULX-D Digital Wireless Microphone System</t>
    </r>
    <r>
      <rPr>
        <sz val="11"/>
        <color theme="1"/>
        <rFont val="Aptos Narrow"/>
        <family val="2"/>
        <scheme val="minor"/>
      </rPr>
      <t xml:space="preserve"> (Çox sayda mikrofon və kanal dəstəyi).</t>
    </r>
  </si>
  <si>
    <r>
      <t>Audio-Technica 6000 Series Wireless System</t>
    </r>
    <r>
      <rPr>
        <sz val="11"/>
        <color theme="1"/>
        <rFont val="Aptos Narrow"/>
        <family val="2"/>
        <scheme val="minor"/>
      </rPr>
      <t xml:space="preserve"> (Peşəkar səviyyədə çoxlu mikrofon idarəsi).</t>
    </r>
  </si>
  <si>
    <r>
      <t>Lectrosonics 400 Series Wireless System</t>
    </r>
    <r>
      <rPr>
        <sz val="11"/>
        <color theme="1"/>
        <rFont val="Aptos Narrow"/>
        <family val="2"/>
        <scheme val="minor"/>
      </rPr>
      <t xml:space="preserve"> (5 və ya daha çox mikrofon üçün uyğun sistemlər).</t>
    </r>
  </si>
  <si>
    <t>Proyektor</t>
  </si>
  <si>
    <t>Min. 4000 Lumen
Min. 15000 saat qarantiya 
HDMI portu olmalı
Wireless qoşulmanı dəstəkləməli</t>
  </si>
  <si>
    <t>Pointer (clicker)</t>
  </si>
  <si>
    <t>Density: 16GB
Speed: DDR4-3200
CAS Latency: 22</t>
  </si>
  <si>
    <t>Xarici yaddaş qurğusu</t>
  </si>
  <si>
    <t>Məhsul tipi: External SSD, USB 3.2 Gen 2 və ya USB-C interfeysi ilə uyğun, 2TB tutumunda.
Oxuma sürəti: ən azı 1050 MB/s, Yazma sürəti: ən azı 1000 MB/s.
Şifrələmə: AES 256-bit şifrələmə dəstəyi və ya barmaq izi ilə parol qoruması (T7 Touch üçün).
Shock-resistant və IP65/IP67 su və toz keçirməzlik sertifikatı.
Metal örtük və ya dayanıqlı plastik materialdan hazırlanmış.
Uyğunluq: Windows, macOS, Linux və Android ilə uyğun.
Garanti: 5 il zəmanət və ya 1 milyon saat MTBF.
Temperatur: 0°C ilə 70°C işləmə aralığı.</t>
  </si>
  <si>
    <t>Video konfrans sistemi</t>
  </si>
  <si>
    <t>Məhsul tipi: Video konfrans kamerası (Conference Camera), 1080p HD video ilə 30 fps, 10x optik zoom, USB 3.0 dəstəyi, Windows, macOS ilə uyğun.
Səs keyfiyyəti: Full-duplex səs, echo-cancelling, noise-cancelling texnologiyası, 10 metrə qədər mikrofon məsafəsi.
Quraşdırma: Plug-and-play, USB bağlantısı, zoom və tilt motorlu kamera.
Uyğunluq: Zoom, Skype, Microsoft Teams, Google Meet ilə uyğun.
Fiziki Xüsusiyyətlər: Kompakt və yüngül dizayn, dayanıqlı material.</t>
  </si>
  <si>
    <t>Video konfrans sisteminin kamerası üçün ştativ</t>
  </si>
  <si>
    <t>Vintaçan dəsti</t>
  </si>
  <si>
    <t>HP250 laptop üçün adapter</t>
  </si>
  <si>
    <t>Ənənəvi cərəyan başlığı ilə</t>
  </si>
  <si>
    <t>Lenovo Thinkpad T16 gen1 üçün adapter</t>
  </si>
  <si>
    <t>Dell Latitude 3510 üçün daxili batareya</t>
  </si>
  <si>
    <t>Dell Latitude E5570 üçün daxili batareya</t>
  </si>
  <si>
    <t>Asus K551L üçün klaviatura</t>
  </si>
  <si>
    <t xml:space="preserve">Printer </t>
  </si>
  <si>
    <t>M2 Harddisk Reader</t>
  </si>
  <si>
    <t>100 m-ə qədər məsafədə idarəetmə.
Dəyişdirilə bilən batareya və ya şarj olunan
Qırmızı lazer işarəsi.
Windows və Mac ilə uyğunluq.</t>
  </si>
  <si>
    <t>Lenovo Thinkpad T16 Gen1 laptoplar üçün RAM</t>
  </si>
  <si>
    <t>Dell Optiplex5000 PC-lər üçün RAM</t>
  </si>
  <si>
    <t>AAA Batareya rechargable</t>
  </si>
  <si>
    <t>AAA rechargable batareya charger</t>
  </si>
  <si>
    <t>AA Batareya rechargable</t>
  </si>
  <si>
    <t>AA rechargable batareya charger</t>
  </si>
  <si>
    <t>Professional RJ45 Ethernet Crimping Tool (Jack vuran alət)</t>
  </si>
  <si>
    <t>RJ45 Jack Cat 5</t>
  </si>
  <si>
    <t>RJ45 Jack Cat 6</t>
  </si>
  <si>
    <t>Flashkart 64GB</t>
  </si>
  <si>
    <t>DVI to DP conventer</t>
  </si>
  <si>
    <t xml:space="preserve">Display Port 1.4 </t>
  </si>
  <si>
    <t>Cisco CP-7925G-E-K9 telefonu üçün batareya</t>
  </si>
  <si>
    <t>Texniki xüsusiyyətlər:
Tip: Li-ion
Gərginlik: 3.7 V
Tutum: ≈1450–1500 mAh
Enerji: təxminən 5.36 Wh</t>
  </si>
  <si>
    <t>Şəbəkə kabeli (Patch-cord)</t>
  </si>
  <si>
    <t>0.5 metr</t>
  </si>
  <si>
    <t>Webcam</t>
  </si>
  <si>
    <t xml:space="preserve">Harddisk server üçün </t>
  </si>
  <si>
    <t xml:space="preserve">Lenova ThinkSystem  1TB  7.2 rpm SATA 6Gb    PN: 7XB7A00036   </t>
  </si>
  <si>
    <t>Kabel soyan alət Stripper</t>
  </si>
  <si>
    <t>9v Batareya rechargable</t>
  </si>
  <si>
    <t>9v rechargable batareya charger</t>
  </si>
  <si>
    <t>Server üçün rezerv harddisk</t>
  </si>
  <si>
    <t>NVR üçün harddisk</t>
  </si>
  <si>
    <t>Media Streaming Device</t>
  </si>
  <si>
    <t>Vintaçan dəyişən başlıqlarla
Vintaçan tutacağı - min. 1 ədəd
Vintaçan tutacağına qoşula bilən başlıqlar - min. 20 ədəd
Vintaçan tutacağına qoşula bilən uzadıcı - min. 1 ədəd
Komplektasiyanın yerləşdiyi qutu - 1 ədəd</t>
  </si>
  <si>
    <t>Yalnız CAT tipli kabellərin üst səthini kabelin daxilindəki naqillərə zərər vermədən soymaq (kəsmək) üçün nəzərdə tutulmuş stripper aləti</t>
  </si>
  <si>
    <t>Maksimal video icazəsi: min. 1920 × 1080
Maksimal kadr tezliyi: min. 30 kadr/s
Baxış bucağı: 55°
Avtofokus funksiyalı
Mikrofona malik
Kameranın üzərini istifadə etmədikdə bağlamaq üçün qabaqcıqlı</t>
  </si>
  <si>
    <t>Parametr</t>
  </si>
  <si>
    <t>Tələb</t>
  </si>
  <si>
    <t>Çap texnologiyası</t>
  </si>
  <si>
    <t>Rəngli lazer (CMYK)</t>
  </si>
  <si>
    <t>Çap keyfiyyəti</t>
  </si>
  <si>
    <t>Minimum 1200 × 1200 dpi</t>
  </si>
  <si>
    <t>Rəngli çap sürəti (A4)</t>
  </si>
  <si>
    <t>Minimum 20 səh/dəq (C7120: 20 | C7125: 25 | C7130: 30)</t>
  </si>
  <si>
    <t>Rəngli çap sürəti (A3)</t>
  </si>
  <si>
    <t>Minimum 12 səh/dəq</t>
  </si>
  <si>
    <t>Avtomatik duplex</t>
  </si>
  <si>
    <t>A3 və A4 — mütləq, standart daxil</t>
  </si>
  <si>
    <t>Çap formatı</t>
  </si>
  <si>
    <t>A3, A4, A5, B4, B5, zərflər</t>
  </si>
  <si>
    <t>Kağız növləri</t>
  </si>
  <si>
    <t>Adi, glossy, mat, etiket, karton (60–220 q/m²)</t>
  </si>
  <si>
    <t>Kağız tutumu</t>
  </si>
  <si>
    <t>Minimum 700 vərəq (2 loток) + bypass 100 vərəq</t>
  </si>
  <si>
    <t>2. Skan Tələbləri</t>
  </si>
  <si>
    <t>Skan növü</t>
  </si>
  <si>
    <t>Flatbed + ADF (avtomatik sənəd yükləyici)</t>
  </si>
  <si>
    <t>Skan keyfiyyəti</t>
  </si>
  <si>
    <t>Minimum 600 × 600 dpi optik</t>
  </si>
  <si>
    <t>ADF tutumu</t>
  </si>
  <si>
    <t>Minimum 130 vərəq, duplex skan daxil</t>
  </si>
  <si>
    <t>Skan formatı</t>
  </si>
  <si>
    <t>A3 + A4 — hər ikisi mütləq</t>
  </si>
  <si>
    <t>Skan göndərmə</t>
  </si>
  <si>
    <t>E-poçt, şəbəkə qovluğu (SMB/FTP), USB, Cloud</t>
  </si>
  <si>
    <t>Çıxış formatları</t>
  </si>
  <si>
    <t>PDF, PDF/A, JPEG, TIFF</t>
  </si>
  <si>
    <t>3. Bağlantı Tələbləri</t>
  </si>
  <si>
    <t>Ethernet (LAN)</t>
  </si>
  <si>
    <t>Gigabit — mütləq</t>
  </si>
  <si>
    <t>USB</t>
  </si>
  <si>
    <t>USB 2.0 — mütləq</t>
  </si>
  <si>
    <t>Wi-Fi</t>
  </si>
  <si>
    <t>802.11ac — mütləq (opsional modul ilə)</t>
  </si>
  <si>
    <t>Mobil çap</t>
  </si>
  <si>
    <t>Apple AirPrint, Mopria — mütləq</t>
  </si>
  <si>
    <t>Şifrəli / PIN çap</t>
  </si>
  <si>
    <t>Secure Print — mütləq</t>
  </si>
  <si>
    <t>4. İş Həcmi və Davamlılıq</t>
  </si>
  <si>
    <t>Aylıq tövsiyə həcmi</t>
  </si>
  <si>
    <t>Minimum 5.500 səhifə/ay</t>
  </si>
  <si>
    <t>Maks. duty cycle</t>
  </si>
  <si>
    <t>C7120: 87.000 | C7125: 107.000 | C7130: 129.000 şəkil/ay</t>
  </si>
  <si>
    <t>Enerji</t>
  </si>
  <si>
    <t>ENERGY STAR sertifikatlı — mütləq</t>
  </si>
  <si>
    <t>5. Zəmanət və Servis</t>
  </si>
  <si>
    <t>Zəmanət müddəti</t>
  </si>
  <si>
    <t>Minimum 1 il (yazılı, möhürlü)</t>
  </si>
  <si>
    <t>Servis mərkəzi</t>
  </si>
  <si>
    <t>Bakıda rəsmi Xerox servis mərkəzi — mütləq (xeropc.az)</t>
  </si>
  <si>
    <t>Cavab müddəti</t>
  </si>
  <si>
    <t>Servis müraciətinə 2 iş günü ərzində</t>
  </si>
  <si>
    <t>Ehtiyat hissə</t>
  </si>
  <si>
    <t>Toner və drum Bakıda daim əlçatan olmalıdır</t>
  </si>
  <si>
    <t>1. Çap Texniki Göstəriciləri</t>
  </si>
  <si>
    <t>Ətraflı Sheet3-də</t>
  </si>
  <si>
    <t>https://www.xerox.com/en-us/office/multifunction-printers/versalink-c7120-c7125-c7130/specifications</t>
  </si>
  <si>
    <t>Arzuolunan modelI: Xerox Versalink c7130</t>
  </si>
  <si>
    <t>Hündürlüyün tənzimlənə bilinməsi və video konfrans sisteminə düzgün bərkidilməsi, 0.8-1.4 metr aralığında</t>
  </si>
  <si>
    <r>
      <rPr>
        <b/>
        <sz val="11"/>
        <color theme="1"/>
        <rFont val="Aptos Narrow"/>
        <family val="2"/>
        <scheme val="minor"/>
      </rPr>
      <t>Mövcud olan  Dell VxRail P670F  model serverlər üzrə harddisk</t>
    </r>
    <r>
      <rPr>
        <sz val="11"/>
        <color theme="1"/>
        <rFont val="Aptos Narrow"/>
        <family val="2"/>
        <scheme val="minor"/>
      </rPr>
      <t xml:space="preserve">
Tutum: min. 480 GB
İnterfeys: SATA 6 Gb/s (SATA III)
Form Faktor: M.2 2280
NAND Növü: 3D TLC NAND
İstifadə Sinfi: Data Center / Enterprise (BOSS-S2 Controller)
Ardıcıl Oxu (Seq. Read): min. 540 MB/s
Ardıcıl Yazı (Seq. Write): min. 520 MB/s
Təsadüfi Oxu 4K IOPS: min. 95,000 IOPS
Təsadüfi Yazı 4K IOPS: min. 40,000 IOPS
Endurance (TBW): min. 700 TBW
DWPD: min. 0.8 DWPD
MTBF: min. 2,000,000 saat</t>
    </r>
  </si>
  <si>
    <r>
      <rPr>
        <b/>
        <sz val="11"/>
        <color theme="1"/>
        <rFont val="Aptos Narrow"/>
        <family val="2"/>
        <scheme val="minor"/>
      </rPr>
      <t>Mövcud olan  Dell VxRail P670F  model serverlər üzrə harddisk</t>
    </r>
    <r>
      <rPr>
        <sz val="11"/>
        <color theme="1"/>
        <rFont val="Aptos Narrow"/>
        <family val="2"/>
        <scheme val="minor"/>
      </rPr>
      <t xml:space="preserve">
Tutum: min. 3.84 TB (3,840 GB)
İnterfeys: SATA 6 Gb/s (SATA III)
Form Faktor: 2.5 düym (SFF)
NAND Növü: 3D TLC NAND
İstifadə Sinfi: Data Center / Enterprise Read Intensive
Ardıcıl Oxu (Seq. Read): min. 500 MB/s
Ardıcıl Yazı (Seq. Write): min. 430 MB/s
Təsadüfi Oxu 4K IOPS: min. 90,000 IOPS
Təsadüfi Yazı 4K IOPS: min. 28,000 IOPS
Endurance (TBW): min. 2,100 TBW
DWPD: min. 1 DWPD
MTBF: min. 2,000,000 saat</t>
    </r>
  </si>
  <si>
    <r>
      <rPr>
        <b/>
        <sz val="11"/>
        <color theme="1"/>
        <rFont val="Aptos Narrow"/>
        <family val="2"/>
        <scheme val="minor"/>
      </rPr>
      <t>Mövcud olan  Hikvision DS-9664NI-M16/R  model serverlər üzrə harddisk</t>
    </r>
    <r>
      <rPr>
        <sz val="11"/>
        <color theme="1"/>
        <rFont val="Aptos Narrow"/>
        <family val="2"/>
        <scheme val="minor"/>
      </rPr>
      <t xml:space="preserve">
Tutum (Capacity): 16 TB
Seriya: Exos X18 (Enterprise class)
Form factor: 3.5" (LFF – Large Form Factor)
Interface: SATA III (6 Gb/s)
Fırlanma sürəti: 7200 RPM
Cache (buffer): 256 MB
Data transfer (internal): ~260 MB/s</t>
    </r>
  </si>
  <si>
    <r>
      <rPr>
        <b/>
        <sz val="11"/>
        <color theme="1"/>
        <rFont val="Aptos Narrow"/>
        <family val="2"/>
        <scheme val="minor"/>
      </rPr>
      <t>Mövcud olan  Hikvision DS-9664NI-M16/R  model serverlər üzrə harddisk</t>
    </r>
    <r>
      <rPr>
        <sz val="11"/>
        <color theme="1"/>
        <rFont val="Aptos Narrow"/>
        <family val="2"/>
        <scheme val="minor"/>
      </rPr>
      <t xml:space="preserve">
Tutum (Capacity): 10 TB
Seriya: Exos X16 (Enterprise class)
Form factor: 3.5" (LFF)
Interface: SATA III (6 Gb/s)
Fırlanma sürəti: 7200 RPM
Cache: 256 MB
Data transfer: ~245 MB/s</t>
    </r>
  </si>
  <si>
    <t>Daxili yaddaş: minimum 64 GB
Video dəstəyi: 4K UHD (3840×2160), HDR10 və Dolby Vision
Audio dəstəyi: Dolby Atmos
Prosessor: yüksək performanslı multimedia prosessoru
Şəbəkə: Wi-Fi (802.11ax / Wi-Fi 6 və ya daha yüksək), Bluetooth (minimum 5.0)
Portlar: HDMI çıxışı (minimum HDMI 2.1 və ya ekvivalent)
Əməliyyat sistemi: müasir smart TV platforması
Pult: səsli idarəetmə (voice control) dəstəyi olan uzaqdan idarəetmə pultu daxil olmalıdır
Streaming xidmətləri dəstəyi: YouTube, Netflix və digər məşhur platformalarla uyğunluq</t>
  </si>
  <si>
    <t>Mövcud Dell Latitude 3510 üçün</t>
  </si>
  <si>
    <t>Mövcud Dell Latitude E557 üçün</t>
  </si>
  <si>
    <t>Mövcud Asus K551L üçün</t>
  </si>
  <si>
    <t>Qiymət</t>
  </si>
  <si>
    <t>Məbləğ</t>
  </si>
  <si>
    <t>Miqdar</t>
  </si>
  <si>
    <t>Ölçü vahidi</t>
  </si>
  <si>
    <t>ədəd</t>
  </si>
  <si>
    <t>dəst</t>
  </si>
  <si>
    <t>ƏDV</t>
  </si>
  <si>
    <t>Məbləğ (ƏDV daxil)</t>
  </si>
  <si>
    <t>Texniki detallar üçün - Sheet2 
Dəstin daxilində saylar (2 + 3 in 1) olmalıdır. Müvafiq olaraq 2 ədəd əl, 3 ədəd yaxa mikrofonu və 1 ədəd kontroller</t>
  </si>
  <si>
    <t>USB Hub</t>
  </si>
  <si>
    <r>
      <rPr>
        <b/>
        <sz val="11"/>
        <color theme="1"/>
        <rFont val="Aptos Narrow"/>
        <family val="2"/>
        <scheme val="minor"/>
      </rPr>
      <t>SİMA Token kimi USB Tokenləri dəstəkləməli və həmçinin aşağıdakı tələblərə cavab verməli:</t>
    </r>
    <r>
      <rPr>
        <sz val="11"/>
        <color theme="1"/>
        <rFont val="Aptos Narrow"/>
        <family val="2"/>
        <scheme val="minor"/>
      </rPr>
      <t xml:space="preserve">
Kabelinin uzunluğu: min. 1 metr
Port sayı: min. 4 USB Type A
USB Standartı: min. USB 2.0 (High Speed)
USB 3.0 Geriyə Uyğunluq: USB 3.0/3.1 hub olduqda USB 2.0 ilə tam geriyə uyğun olmalıdır
USB HID (Human Interface Device) sinfi cihazları dəstəkləməlidir (USB tokenlər HID sinfi üzərindən işləyir)
CCID (Chip Card Interface Device) protokolunu dəstəkləməlidir (Kriptoqrafik tokenlər CCID istifadə edir)
Windows 7/8/10/11 — sürücüsüz (driverless) işləməlidir
USB-IF sertifikatı olmalıdır (USB Implementers Forum)
Əlavə güc (elektrik) kabeli olmasın</t>
    </r>
  </si>
  <si>
    <t>VP-12  6way germany type power strip white 5Metr</t>
  </si>
  <si>
    <t>VOLTAM VT-01 MULTİ ADAPTER</t>
  </si>
  <si>
    <t>A-25U2 ( UHF микрофон, один нагрудный и один беспроводной микрофон )</t>
  </si>
  <si>
    <t>və onların kontrolleri</t>
  </si>
  <si>
    <t xml:space="preserve">3 əl, 3 yaxa mikrofonu </t>
  </si>
  <si>
    <t>5 in 1 Gigabit Type-C to HDMI 4K / 2x USB 3.0 / PD / LAN Converter</t>
  </si>
  <si>
    <t>HIKVISION - DS100HKAI-VX1 (10TB/7200RPM)</t>
  </si>
  <si>
    <t>SEAGATE 16TB EXOS HDD</t>
  </si>
  <si>
    <t>DATALINK CAT6 - LAN KABEL 0.5M ( RED )</t>
  </si>
  <si>
    <t>DATALINK RJ45 - CAT5E CONNECTOR (RED)</t>
  </si>
  <si>
    <t>TPLİNK RJ45 UTP CAT 6 PAKET (100 PCS)</t>
  </si>
  <si>
    <t>RAM 16GB DDR4 CRUCIAL PC 3200MHZ</t>
  </si>
  <si>
    <t xml:space="preserve">RAM 16GB DDR4 CRUCIAL NB 3200MHZ </t>
  </si>
  <si>
    <t xml:space="preserve">SSD USB KINGSTON XS1000 2TB  </t>
  </si>
  <si>
    <t>TP-Link - UH720 ( 7-портовый концентратор USB 3.0 с 2 заряжающими портами )</t>
  </si>
  <si>
    <t xml:space="preserve">Vintaçan dəsti </t>
  </si>
  <si>
    <t xml:space="preserve">CP-376M Modular Crimping Tool (225mm) </t>
  </si>
  <si>
    <t>CP-505 Universal Stripping Tool</t>
  </si>
  <si>
    <t>Camelion 9v rc 200 amper</t>
  </si>
  <si>
    <t xml:space="preserve">Charger  </t>
  </si>
  <si>
    <t>WC LOGITECH BRIO 300</t>
  </si>
  <si>
    <t xml:space="preserve">Dymo lm280 </t>
  </si>
  <si>
    <t xml:space="preserve">Kartric 12mm-7m </t>
  </si>
  <si>
    <t>XEROX VL_C 7120 _D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</si>
</sst>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family val="2"/>
      <scheme val="minor"/>
    </font>
    <font>
      <b/>
      <sz val="11"/>
      <color theme="1"/>
      <name val="Aptos Narrow"/>
      <family val="2"/>
      <scheme val="minor"/>
    </font>
    <font>
      <u/>
      <sz val="11"/>
      <color theme="10"/>
      <name val="Aptos Narrow"/>
      <family val="2"/>
      <scheme val="minor"/>
    </font>
    <font>
      <b/>
      <sz val="13.5"/>
      <color theme="1"/>
      <name val="Aptos Narrow"/>
      <family val="2"/>
      <scheme val="minor"/>
    </font>
    <font>
      <b/>
      <sz val="12"/>
      <color theme="1"/>
      <name val="Aptos Narrow"/>
      <family val="2"/>
      <scheme val="minor"/>
    </font>
    <font>
      <sz val="11"/>
      <name val="Aptos Narrow"/>
      <family val="2"/>
      <scheme val="minor"/>
    </font>
    <font>
      <b/>
      <sz val="13"/>
      <color rgb="FF1F4E79"/>
      <name val="Arial"/>
      <family val="2"/>
    </font>
    <font>
      <sz val="10"/>
      <color rgb="FF1A1A1A"/>
      <name val="Arial"/>
      <family val="2"/>
    </font>
    <font>
      <b/>
      <sz val="9.5"/>
      <color rgb="FFFFFFFF"/>
      <name val="Arial"/>
      <family val="2"/>
    </font>
    <font>
      <b/>
      <sz val="9.5"/>
      <color rgb="FF1F4E79"/>
      <name val="Arial"/>
      <family val="2"/>
    </font>
    <font>
      <sz val="9.5"/>
      <color rgb="FF1A1A1A"/>
      <name val="Arial"/>
      <family val="2"/>
    </font>
  </fonts>
  <fills count="7">
    <fill>
      <patternFill patternType="none"/>
    </fill>
    <fill>
      <patternFill patternType="gray125"/>
    </fill>
    <fill>
      <patternFill patternType="solid">
        <fgColor rgb="FF1F4E79"/>
        <bgColor indexed="64"/>
      </patternFill>
    </fill>
    <fill>
      <patternFill patternType="solid">
        <fgColor rgb="FFEBF3FB"/>
        <bgColor indexed="64"/>
      </patternFill>
    </fill>
    <fill>
      <patternFill patternType="solid">
        <fgColor rgb="FFFFFFFF"/>
        <bgColor indexed="64"/>
      </patternFill>
    </fill>
    <fill>
      <patternFill patternType="solid">
        <fgColor theme="5" tint="0.59999389629810485"/>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BDD7EE"/>
      </left>
      <right style="medium">
        <color rgb="FFBDD7EE"/>
      </right>
      <top style="medium">
        <color rgb="FFBDD7EE"/>
      </top>
      <bottom style="medium">
        <color rgb="FFBDD7EE"/>
      </bottom>
      <diagonal/>
    </border>
    <border>
      <left/>
      <right style="medium">
        <color rgb="FFBDD7EE"/>
      </right>
      <top style="medium">
        <color rgb="FFBDD7EE"/>
      </top>
      <bottom style="medium">
        <color rgb="FFBDD7EE"/>
      </bottom>
      <diagonal/>
    </border>
    <border>
      <left style="medium">
        <color rgb="FFBDD7EE"/>
      </left>
      <right style="medium">
        <color rgb="FFBDD7EE"/>
      </right>
      <top/>
      <bottom style="medium">
        <color rgb="FFBDD7EE"/>
      </bottom>
      <diagonal/>
    </border>
    <border>
      <left/>
      <right style="medium">
        <color rgb="FFBDD7EE"/>
      </right>
      <top/>
      <bottom style="medium">
        <color rgb="FFBDD7EE"/>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34">
    <xf numFmtId="0" fontId="0" fillId="0" borderId="0" xfId="0"/>
    <xf numFmtId="0" fontId="0" fillId="0" borderId="0" xfId="0" applyAlignment="1">
      <alignment wrapText="1"/>
    </xf>
    <xf numFmtId="0" fontId="0" fillId="0" borderId="0" xfId="0" applyAlignment="1">
      <alignment horizontal="left" vertical="center" wrapText="1"/>
    </xf>
    <xf numFmtId="0" fontId="1" fillId="0" borderId="0" xfId="0" applyFont="1" applyAlignment="1">
      <alignment horizontal="left"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horizontal="center" vertical="center" wrapText="1"/>
    </xf>
    <xf numFmtId="0" fontId="0" fillId="0" borderId="0" xfId="0" applyAlignment="1">
      <alignment horizont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9" fillId="3" borderId="4" xfId="0" applyFont="1" applyFill="1" applyBorder="1" applyAlignment="1">
      <alignment vertical="center" wrapText="1"/>
    </xf>
    <xf numFmtId="0" fontId="10" fillId="3" borderId="5" xfId="0" applyFont="1" applyFill="1" applyBorder="1" applyAlignment="1">
      <alignment vertical="center" wrapText="1"/>
    </xf>
    <xf numFmtId="0" fontId="9" fillId="4" borderId="4" xfId="0" applyFont="1" applyFill="1" applyBorder="1" applyAlignment="1">
      <alignment vertical="center" wrapText="1"/>
    </xf>
    <xf numFmtId="0" fontId="10" fillId="4" borderId="5" xfId="0" applyFont="1" applyFill="1" applyBorder="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0" fillId="5" borderId="1" xfId="0" applyFill="1" applyBorder="1" applyAlignment="1">
      <alignment horizontal="center" vertical="center"/>
    </xf>
    <xf numFmtId="0" fontId="1" fillId="6" borderId="1" xfId="0" applyFont="1" applyFill="1" applyBorder="1" applyAlignment="1">
      <alignment horizontal="center" vertical="center" wrapText="1"/>
    </xf>
    <xf numFmtId="0" fontId="0" fillId="6" borderId="1" xfId="0" applyFill="1" applyBorder="1" applyAlignment="1">
      <alignment horizontal="left" vertical="center" wrapText="1"/>
    </xf>
    <xf numFmtId="0" fontId="0" fillId="6" borderId="1" xfId="0" applyFill="1" applyBorder="1" applyAlignment="1">
      <alignment horizontal="center" vertical="center" wrapText="1"/>
    </xf>
    <xf numFmtId="0" fontId="5" fillId="6"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0" fillId="6" borderId="1" xfId="0" applyFill="1" applyBorder="1" applyAlignment="1">
      <alignment wrapText="1"/>
    </xf>
    <xf numFmtId="0" fontId="0" fillId="0" borderId="1" xfId="0" applyBorder="1" applyAlignment="1">
      <alignment wrapText="1"/>
    </xf>
    <xf numFmtId="0" fontId="0" fillId="0" borderId="1" xfId="0" applyBorder="1" applyAlignment="1">
      <alignment vertical="center" wrapText="1"/>
    </xf>
    <xf numFmtId="0" fontId="0" fillId="0" borderId="1" xfId="0" applyBorder="1" applyAlignment="1">
      <alignment horizontal="right" wrapText="1"/>
    </xf>
    <xf numFmtId="0" fontId="0" fillId="0" borderId="1" xfId="0" applyBorder="1" applyAlignment="1">
      <alignment horizontal="right" vertical="center" wrapText="1"/>
    </xf>
    <xf numFmtId="0" fontId="0" fillId="6" borderId="6" xfId="0" applyFill="1" applyBorder="1" applyAlignment="1">
      <alignment horizontal="center" vertical="center" wrapText="1"/>
    </xf>
    <xf numFmtId="0" fontId="0" fillId="6" borderId="7" xfId="0" applyFill="1"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horizontal="right" wrapText="1"/>
    </xf>
    <xf numFmtId="0" fontId="0" fillId="0" borderId="1" xfId="0" applyBorder="1" applyAlignment="1">
      <alignment horizontal="right" vertical="center" wrapText="1"/>
    </xf>
    <xf numFmtId="0" fontId="2" fillId="5" borderId="1" xfId="1" applyFill="1" applyBorder="1" applyAlignment="1">
      <alignment horizontal="center" vertical="center" wrapText="1"/>
    </xf>
    <xf numFmtId="0" fontId="0" fillId="5" borderId="1" xfId="0"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xerox.com/en-us/office/multifunction-printers/versalink-c7120-c7125-c7130/specific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64D57-0AE9-4C3D-917D-ADB32A1A1AB1}">
  <dimension ref="A1:H195"/>
  <sheetViews>
    <sheetView tabSelected="1" zoomScaleNormal="100" workbookViewId="0">
      <pane ySplit="1" topLeftCell="A2" activePane="bottomLeft" state="frozen"/>
      <selection pane="bottomLeft" activeCell="G23" sqref="G23"/>
    </sheetView>
  </sheetViews>
  <sheetFormatPr defaultColWidth="9.09765625" defaultRowHeight="13.8"/>
  <cols>
    <col min="1" max="1" width="2.8984375" style="6" bestFit="1" customWidth="1"/>
    <col min="2" max="2" width="31.296875" style="1" bestFit="1" customWidth="1"/>
    <col min="3" max="3" width="10.69921875" style="7" bestFit="1" customWidth="1"/>
    <col min="4" max="4" width="6.796875" style="6" bestFit="1" customWidth="1"/>
    <col min="5" max="5" width="56.69921875" style="1" customWidth="1"/>
    <col min="6" max="6" width="40.59765625" style="1" customWidth="1"/>
    <col min="7" max="16384" width="9.09765625" style="1"/>
  </cols>
  <sheetData>
    <row r="1" spans="1:8">
      <c r="A1" s="17" t="s">
        <v>0</v>
      </c>
      <c r="B1" s="17" t="s">
        <v>1</v>
      </c>
      <c r="C1" s="17" t="s">
        <v>177</v>
      </c>
      <c r="D1" s="17" t="s">
        <v>176</v>
      </c>
      <c r="E1" s="17" t="s">
        <v>2</v>
      </c>
      <c r="F1" s="17" t="s">
        <v>1</v>
      </c>
      <c r="G1" s="17" t="s">
        <v>174</v>
      </c>
      <c r="H1" s="17" t="s">
        <v>175</v>
      </c>
    </row>
    <row r="2" spans="1:8" ht="27.6">
      <c r="A2" s="19">
        <v>1</v>
      </c>
      <c r="B2" s="18" t="s">
        <v>3</v>
      </c>
      <c r="C2" s="19" t="s">
        <v>178</v>
      </c>
      <c r="D2" s="19">
        <v>3</v>
      </c>
      <c r="E2" s="18" t="s">
        <v>4</v>
      </c>
      <c r="F2" s="1" t="s">
        <v>190</v>
      </c>
      <c r="G2" s="23">
        <v>25</v>
      </c>
      <c r="H2" s="23">
        <f>D2*G2</f>
        <v>75</v>
      </c>
    </row>
    <row r="3" spans="1:8" ht="96.6">
      <c r="A3" s="19">
        <v>2</v>
      </c>
      <c r="B3" s="18" t="s">
        <v>5</v>
      </c>
      <c r="C3" s="19" t="s">
        <v>178</v>
      </c>
      <c r="D3" s="19">
        <v>2</v>
      </c>
      <c r="E3" s="18" t="s">
        <v>6</v>
      </c>
      <c r="F3" s="18" t="s">
        <v>206</v>
      </c>
      <c r="G3" s="23">
        <v>409.52</v>
      </c>
      <c r="H3" s="23">
        <f>D3*G3</f>
        <v>819.04</v>
      </c>
    </row>
    <row r="4" spans="1:8" ht="17.25" customHeight="1">
      <c r="A4" s="19">
        <v>3</v>
      </c>
      <c r="B4" s="18" t="s">
        <v>7</v>
      </c>
      <c r="C4" s="19" t="s">
        <v>178</v>
      </c>
      <c r="D4" s="19">
        <v>20</v>
      </c>
      <c r="E4" s="18" t="s">
        <v>8</v>
      </c>
      <c r="F4" s="18" t="s">
        <v>207</v>
      </c>
      <c r="G4" s="23">
        <v>22</v>
      </c>
      <c r="H4" s="23">
        <f t="shared" ref="H4:H43" si="0">D4*G4</f>
        <v>440</v>
      </c>
    </row>
    <row r="5" spans="1:8" ht="41.4">
      <c r="A5" s="19">
        <v>4</v>
      </c>
      <c r="B5" s="18" t="s">
        <v>9</v>
      </c>
      <c r="C5" s="19" t="s">
        <v>178</v>
      </c>
      <c r="D5" s="19">
        <v>20</v>
      </c>
      <c r="E5" s="18" t="s">
        <v>12</v>
      </c>
      <c r="F5" s="18" t="s">
        <v>185</v>
      </c>
      <c r="G5" s="23">
        <v>11.22</v>
      </c>
      <c r="H5" s="23">
        <f t="shared" si="0"/>
        <v>224.4</v>
      </c>
    </row>
    <row r="6" spans="1:8" ht="27.6">
      <c r="A6" s="19">
        <v>5</v>
      </c>
      <c r="B6" s="18" t="s">
        <v>10</v>
      </c>
      <c r="C6" s="19" t="s">
        <v>178</v>
      </c>
      <c r="D6" s="19">
        <v>30</v>
      </c>
      <c r="E6" s="18" t="s">
        <v>11</v>
      </c>
      <c r="F6" s="18" t="s">
        <v>186</v>
      </c>
      <c r="G6" s="23">
        <v>0.99</v>
      </c>
      <c r="H6" s="23">
        <f t="shared" si="0"/>
        <v>29.7</v>
      </c>
    </row>
    <row r="7" spans="1:8" ht="41.4">
      <c r="A7" s="27">
        <v>6</v>
      </c>
      <c r="B7" s="18" t="s">
        <v>189</v>
      </c>
      <c r="C7" s="19" t="s">
        <v>179</v>
      </c>
      <c r="D7" s="19">
        <v>3</v>
      </c>
      <c r="E7" s="18" t="s">
        <v>182</v>
      </c>
      <c r="F7" s="18" t="s">
        <v>187</v>
      </c>
      <c r="G7" s="23">
        <v>425.75</v>
      </c>
      <c r="H7" s="23">
        <f t="shared" si="0"/>
        <v>1277.25</v>
      </c>
    </row>
    <row r="8" spans="1:8" ht="49.2" customHeight="1">
      <c r="A8" s="28"/>
      <c r="B8" s="18" t="s">
        <v>188</v>
      </c>
      <c r="C8" s="19"/>
      <c r="D8" s="19"/>
      <c r="E8" s="18"/>
      <c r="F8" s="18">
        <v>0</v>
      </c>
      <c r="G8" s="23"/>
      <c r="H8" s="23"/>
    </row>
    <row r="9" spans="1:8" ht="55.2">
      <c r="A9" s="19">
        <v>7</v>
      </c>
      <c r="B9" s="18" t="s">
        <v>56</v>
      </c>
      <c r="C9" s="19" t="s">
        <v>178</v>
      </c>
      <c r="D9" s="19">
        <v>1</v>
      </c>
      <c r="E9" s="18" t="s">
        <v>57</v>
      </c>
      <c r="F9" s="18">
        <v>0</v>
      </c>
      <c r="G9" s="23"/>
      <c r="H9" s="23">
        <f t="shared" si="0"/>
        <v>0</v>
      </c>
    </row>
    <row r="10" spans="1:8" ht="55.2">
      <c r="A10" s="19">
        <v>8</v>
      </c>
      <c r="B10" s="18" t="s">
        <v>58</v>
      </c>
      <c r="C10" s="19" t="s">
        <v>178</v>
      </c>
      <c r="D10" s="19">
        <v>3</v>
      </c>
      <c r="E10" s="18" t="s">
        <v>74</v>
      </c>
      <c r="F10" s="18">
        <v>0</v>
      </c>
      <c r="G10" s="23"/>
      <c r="H10" s="23">
        <f t="shared" si="0"/>
        <v>0</v>
      </c>
    </row>
    <row r="11" spans="1:8" ht="41.4">
      <c r="A11" s="19">
        <v>9</v>
      </c>
      <c r="B11" s="18" t="s">
        <v>75</v>
      </c>
      <c r="C11" s="19" t="s">
        <v>178</v>
      </c>
      <c r="D11" s="19">
        <v>10</v>
      </c>
      <c r="E11" s="18" t="s">
        <v>59</v>
      </c>
      <c r="F11" s="18" t="s">
        <v>197</v>
      </c>
      <c r="G11" s="23">
        <v>227</v>
      </c>
      <c r="H11" s="23">
        <f t="shared" si="0"/>
        <v>2270</v>
      </c>
    </row>
    <row r="12" spans="1:8" ht="41.4">
      <c r="A12" s="19">
        <v>10</v>
      </c>
      <c r="B12" s="18" t="s">
        <v>76</v>
      </c>
      <c r="C12" s="19" t="s">
        <v>178</v>
      </c>
      <c r="D12" s="19">
        <v>10</v>
      </c>
      <c r="E12" s="18" t="s">
        <v>59</v>
      </c>
      <c r="F12" s="18" t="s">
        <v>196</v>
      </c>
      <c r="G12" s="23">
        <v>246</v>
      </c>
      <c r="H12" s="23">
        <f t="shared" si="0"/>
        <v>2460</v>
      </c>
    </row>
    <row r="13" spans="1:8" ht="138">
      <c r="A13" s="19">
        <v>11</v>
      </c>
      <c r="B13" s="18" t="s">
        <v>60</v>
      </c>
      <c r="C13" s="19" t="s">
        <v>178</v>
      </c>
      <c r="D13" s="19">
        <v>6</v>
      </c>
      <c r="E13" s="18" t="s">
        <v>61</v>
      </c>
      <c r="F13" s="18" t="s">
        <v>198</v>
      </c>
      <c r="G13" s="23">
        <v>482.5</v>
      </c>
      <c r="H13" s="23">
        <f t="shared" si="0"/>
        <v>2895</v>
      </c>
    </row>
    <row r="14" spans="1:8" ht="143.25" customHeight="1">
      <c r="A14" s="19">
        <v>12</v>
      </c>
      <c r="B14" s="18" t="s">
        <v>62</v>
      </c>
      <c r="C14" s="19" t="s">
        <v>178</v>
      </c>
      <c r="D14" s="19">
        <v>3</v>
      </c>
      <c r="E14" s="18" t="s">
        <v>63</v>
      </c>
      <c r="F14" s="18">
        <v>0</v>
      </c>
      <c r="G14" s="23"/>
      <c r="H14" s="23">
        <f t="shared" si="0"/>
        <v>0</v>
      </c>
    </row>
    <row r="15" spans="1:8" ht="27.6">
      <c r="A15" s="19">
        <v>13</v>
      </c>
      <c r="B15" s="18" t="s">
        <v>64</v>
      </c>
      <c r="C15" s="19" t="s">
        <v>178</v>
      </c>
      <c r="D15" s="19">
        <v>3</v>
      </c>
      <c r="E15" s="18" t="s">
        <v>165</v>
      </c>
      <c r="F15" s="18">
        <v>0</v>
      </c>
      <c r="G15" s="23"/>
      <c r="H15" s="23">
        <f t="shared" si="0"/>
        <v>0</v>
      </c>
    </row>
    <row r="16" spans="1:8" ht="69">
      <c r="A16" s="19">
        <v>14</v>
      </c>
      <c r="B16" s="18" t="s">
        <v>65</v>
      </c>
      <c r="C16" s="19" t="s">
        <v>178</v>
      </c>
      <c r="D16" s="19">
        <v>3</v>
      </c>
      <c r="E16" s="18" t="s">
        <v>100</v>
      </c>
      <c r="F16" s="18" t="s">
        <v>200</v>
      </c>
      <c r="G16" s="23">
        <v>26</v>
      </c>
      <c r="H16" s="23">
        <f t="shared" si="0"/>
        <v>78</v>
      </c>
    </row>
    <row r="17" spans="1:8">
      <c r="A17" s="19">
        <v>15</v>
      </c>
      <c r="B17" s="18" t="s">
        <v>66</v>
      </c>
      <c r="C17" s="19" t="s">
        <v>178</v>
      </c>
      <c r="D17" s="19">
        <v>3</v>
      </c>
      <c r="E17" s="18" t="s">
        <v>67</v>
      </c>
      <c r="F17" s="18" t="s">
        <v>66</v>
      </c>
      <c r="G17" s="23">
        <v>47</v>
      </c>
      <c r="H17" s="23">
        <f t="shared" si="0"/>
        <v>141</v>
      </c>
    </row>
    <row r="18" spans="1:8" ht="27.6">
      <c r="A18" s="19">
        <v>16</v>
      </c>
      <c r="B18" s="18" t="s">
        <v>68</v>
      </c>
      <c r="C18" s="19" t="s">
        <v>178</v>
      </c>
      <c r="D18" s="19">
        <v>3</v>
      </c>
      <c r="E18" s="18" t="s">
        <v>67</v>
      </c>
      <c r="F18" s="18" t="s">
        <v>68</v>
      </c>
      <c r="G18" s="23">
        <v>47</v>
      </c>
      <c r="H18" s="23">
        <f t="shared" si="0"/>
        <v>141</v>
      </c>
    </row>
    <row r="19" spans="1:8" ht="27.6">
      <c r="A19" s="19">
        <v>17</v>
      </c>
      <c r="B19" s="18" t="s">
        <v>69</v>
      </c>
      <c r="C19" s="19" t="s">
        <v>178</v>
      </c>
      <c r="D19" s="19">
        <v>2</v>
      </c>
      <c r="E19" s="18" t="s">
        <v>171</v>
      </c>
      <c r="F19" s="18" t="s">
        <v>69</v>
      </c>
      <c r="G19" s="23">
        <v>105</v>
      </c>
      <c r="H19" s="23">
        <f t="shared" si="0"/>
        <v>210</v>
      </c>
    </row>
    <row r="20" spans="1:8" ht="27.6">
      <c r="A20" s="19">
        <v>18</v>
      </c>
      <c r="B20" s="18" t="s">
        <v>70</v>
      </c>
      <c r="C20" s="19" t="s">
        <v>178</v>
      </c>
      <c r="D20" s="19">
        <v>2</v>
      </c>
      <c r="E20" s="18" t="s">
        <v>172</v>
      </c>
      <c r="F20" s="18" t="s">
        <v>70</v>
      </c>
      <c r="G20" s="23">
        <v>94</v>
      </c>
      <c r="H20" s="23">
        <f t="shared" si="0"/>
        <v>188</v>
      </c>
    </row>
    <row r="21" spans="1:8">
      <c r="A21" s="19">
        <v>19</v>
      </c>
      <c r="B21" s="18" t="s">
        <v>71</v>
      </c>
      <c r="C21" s="19" t="s">
        <v>178</v>
      </c>
      <c r="D21" s="19">
        <v>1</v>
      </c>
      <c r="E21" s="18" t="s">
        <v>173</v>
      </c>
      <c r="F21" s="18" t="s">
        <v>71</v>
      </c>
      <c r="G21" s="23">
        <v>30</v>
      </c>
      <c r="H21" s="23">
        <f t="shared" si="0"/>
        <v>30</v>
      </c>
    </row>
    <row r="22" spans="1:8">
      <c r="A22" s="19">
        <v>20</v>
      </c>
      <c r="B22" s="20" t="s">
        <v>72</v>
      </c>
      <c r="C22" s="19" t="s">
        <v>178</v>
      </c>
      <c r="D22" s="21">
        <v>1</v>
      </c>
      <c r="E22" s="20" t="s">
        <v>162</v>
      </c>
      <c r="F22" s="20" t="s">
        <v>208</v>
      </c>
      <c r="G22" s="23">
        <v>5201</v>
      </c>
      <c r="H22" s="23">
        <f t="shared" si="0"/>
        <v>5201</v>
      </c>
    </row>
    <row r="23" spans="1:8">
      <c r="A23" s="19">
        <v>21</v>
      </c>
      <c r="B23" s="18" t="s">
        <v>77</v>
      </c>
      <c r="C23" s="19" t="s">
        <v>178</v>
      </c>
      <c r="D23" s="19">
        <v>20</v>
      </c>
      <c r="E23" s="18"/>
      <c r="F23" s="18" t="s">
        <v>77</v>
      </c>
      <c r="G23" s="23">
        <v>6.65</v>
      </c>
      <c r="H23" s="23">
        <f t="shared" si="0"/>
        <v>133</v>
      </c>
    </row>
    <row r="24" spans="1:8">
      <c r="A24" s="19">
        <v>22</v>
      </c>
      <c r="B24" s="18" t="s">
        <v>78</v>
      </c>
      <c r="C24" s="19" t="s">
        <v>178</v>
      </c>
      <c r="D24" s="19">
        <v>2</v>
      </c>
      <c r="E24" s="18"/>
      <c r="F24" s="18" t="s">
        <v>78</v>
      </c>
      <c r="G24" s="23">
        <v>15.95</v>
      </c>
      <c r="H24" s="23">
        <f t="shared" si="0"/>
        <v>31.9</v>
      </c>
    </row>
    <row r="25" spans="1:8">
      <c r="A25" s="19">
        <v>23</v>
      </c>
      <c r="B25" s="18" t="s">
        <v>79</v>
      </c>
      <c r="C25" s="19" t="s">
        <v>178</v>
      </c>
      <c r="D25" s="19">
        <v>20</v>
      </c>
      <c r="E25" s="18"/>
      <c r="F25" s="18" t="s">
        <v>79</v>
      </c>
      <c r="G25" s="23">
        <v>9.3000000000000007</v>
      </c>
      <c r="H25" s="23">
        <f t="shared" si="0"/>
        <v>186</v>
      </c>
    </row>
    <row r="26" spans="1:8">
      <c r="A26" s="19">
        <v>24</v>
      </c>
      <c r="B26" s="18" t="s">
        <v>80</v>
      </c>
      <c r="C26" s="19" t="s">
        <v>178</v>
      </c>
      <c r="D26" s="19">
        <v>2</v>
      </c>
      <c r="E26" s="18"/>
      <c r="F26" s="18" t="s">
        <v>80</v>
      </c>
      <c r="G26" s="23">
        <v>15.95</v>
      </c>
      <c r="H26" s="23">
        <f t="shared" si="0"/>
        <v>31.9</v>
      </c>
    </row>
    <row r="27" spans="1:8" ht="27.6">
      <c r="A27" s="19">
        <v>25</v>
      </c>
      <c r="B27" s="18" t="s">
        <v>81</v>
      </c>
      <c r="C27" s="19" t="s">
        <v>178</v>
      </c>
      <c r="D27" s="19">
        <v>2</v>
      </c>
      <c r="E27" s="18"/>
      <c r="F27" s="18" t="s">
        <v>201</v>
      </c>
      <c r="G27" s="23">
        <v>77.7</v>
      </c>
      <c r="H27" s="23">
        <f t="shared" si="0"/>
        <v>155.4</v>
      </c>
    </row>
    <row r="28" spans="1:8">
      <c r="A28" s="19">
        <v>26</v>
      </c>
      <c r="B28" s="22" t="s">
        <v>82</v>
      </c>
      <c r="C28" s="19" t="s">
        <v>178</v>
      </c>
      <c r="D28" s="19">
        <v>100</v>
      </c>
      <c r="E28" s="22"/>
      <c r="F28" s="22" t="s">
        <v>194</v>
      </c>
      <c r="G28" s="23">
        <v>0.12</v>
      </c>
      <c r="H28" s="23">
        <f t="shared" si="0"/>
        <v>12</v>
      </c>
    </row>
    <row r="29" spans="1:8">
      <c r="A29" s="19">
        <v>27</v>
      </c>
      <c r="B29" s="22" t="s">
        <v>83</v>
      </c>
      <c r="C29" s="19" t="s">
        <v>178</v>
      </c>
      <c r="D29" s="19">
        <v>50</v>
      </c>
      <c r="E29" s="18"/>
      <c r="F29" s="18" t="s">
        <v>195</v>
      </c>
      <c r="G29" s="23">
        <v>0.12</v>
      </c>
      <c r="H29" s="23">
        <f t="shared" si="0"/>
        <v>6</v>
      </c>
    </row>
    <row r="30" spans="1:8">
      <c r="A30" s="19">
        <v>28</v>
      </c>
      <c r="B30" s="18" t="s">
        <v>73</v>
      </c>
      <c r="C30" s="19" t="s">
        <v>178</v>
      </c>
      <c r="D30" s="19">
        <v>6</v>
      </c>
      <c r="E30" s="18"/>
      <c r="F30" s="18">
        <v>0</v>
      </c>
      <c r="G30" s="23"/>
      <c r="H30" s="23">
        <f t="shared" si="0"/>
        <v>0</v>
      </c>
    </row>
    <row r="31" spans="1:8">
      <c r="A31" s="19">
        <v>29</v>
      </c>
      <c r="B31" s="18" t="s">
        <v>84</v>
      </c>
      <c r="C31" s="19" t="s">
        <v>178</v>
      </c>
      <c r="D31" s="19">
        <v>10</v>
      </c>
      <c r="E31" s="18"/>
      <c r="F31" s="18">
        <v>0</v>
      </c>
      <c r="G31" s="23"/>
      <c r="H31" s="23">
        <f t="shared" si="0"/>
        <v>0</v>
      </c>
    </row>
    <row r="32" spans="1:8">
      <c r="A32" s="19">
        <v>30</v>
      </c>
      <c r="B32" s="18" t="s">
        <v>85</v>
      </c>
      <c r="C32" s="19" t="s">
        <v>178</v>
      </c>
      <c r="D32" s="19">
        <v>10</v>
      </c>
      <c r="E32" s="18" t="s">
        <v>86</v>
      </c>
      <c r="F32" s="18">
        <v>0</v>
      </c>
      <c r="G32" s="23"/>
      <c r="H32" s="23">
        <f t="shared" si="0"/>
        <v>0</v>
      </c>
    </row>
    <row r="33" spans="1:8" ht="69">
      <c r="A33" s="19">
        <v>31</v>
      </c>
      <c r="B33" s="18" t="s">
        <v>87</v>
      </c>
      <c r="C33" s="19" t="s">
        <v>178</v>
      </c>
      <c r="D33" s="19">
        <v>5</v>
      </c>
      <c r="E33" s="18" t="s">
        <v>88</v>
      </c>
      <c r="F33" s="18">
        <v>0</v>
      </c>
      <c r="G33" s="23"/>
      <c r="H33" s="23">
        <f>D33*G33</f>
        <v>0</v>
      </c>
    </row>
    <row r="34" spans="1:8">
      <c r="A34" s="19">
        <v>32</v>
      </c>
      <c r="B34" s="18" t="s">
        <v>89</v>
      </c>
      <c r="C34" s="19" t="s">
        <v>178</v>
      </c>
      <c r="D34" s="19">
        <v>20</v>
      </c>
      <c r="E34" s="18" t="s">
        <v>90</v>
      </c>
      <c r="F34" s="18" t="s">
        <v>193</v>
      </c>
      <c r="G34" s="23">
        <v>1.6</v>
      </c>
      <c r="H34" s="23">
        <f t="shared" si="0"/>
        <v>32</v>
      </c>
    </row>
    <row r="35" spans="1:8" ht="82.8">
      <c r="A35" s="19">
        <v>33</v>
      </c>
      <c r="B35" s="18" t="s">
        <v>91</v>
      </c>
      <c r="C35" s="19" t="s">
        <v>178</v>
      </c>
      <c r="D35" s="19">
        <v>20</v>
      </c>
      <c r="E35" s="18" t="s">
        <v>102</v>
      </c>
      <c r="F35" s="18" t="s">
        <v>205</v>
      </c>
      <c r="G35" s="23">
        <v>125</v>
      </c>
      <c r="H35" s="23">
        <f t="shared" si="0"/>
        <v>2500</v>
      </c>
    </row>
    <row r="36" spans="1:8">
      <c r="A36" s="19">
        <v>34</v>
      </c>
      <c r="B36" s="18" t="s">
        <v>92</v>
      </c>
      <c r="C36" s="19" t="s">
        <v>178</v>
      </c>
      <c r="D36" s="19">
        <v>2</v>
      </c>
      <c r="E36" s="18" t="s">
        <v>93</v>
      </c>
      <c r="F36" s="18">
        <v>0</v>
      </c>
      <c r="G36" s="23"/>
      <c r="H36" s="23">
        <f t="shared" si="0"/>
        <v>0</v>
      </c>
    </row>
    <row r="37" spans="1:8" ht="41.4">
      <c r="A37" s="19">
        <v>35</v>
      </c>
      <c r="B37" s="18" t="s">
        <v>94</v>
      </c>
      <c r="C37" s="19" t="s">
        <v>178</v>
      </c>
      <c r="D37" s="19">
        <v>2</v>
      </c>
      <c r="E37" s="18" t="s">
        <v>101</v>
      </c>
      <c r="F37" s="18" t="s">
        <v>202</v>
      </c>
      <c r="G37" s="23">
        <v>25</v>
      </c>
      <c r="H37" s="23">
        <f t="shared" si="0"/>
        <v>50</v>
      </c>
    </row>
    <row r="38" spans="1:8">
      <c r="A38" s="19">
        <v>36</v>
      </c>
      <c r="B38" s="18" t="s">
        <v>95</v>
      </c>
      <c r="C38" s="19" t="s">
        <v>178</v>
      </c>
      <c r="D38" s="19">
        <v>5</v>
      </c>
      <c r="E38" s="18"/>
      <c r="F38" s="18" t="s">
        <v>203</v>
      </c>
      <c r="G38" s="23">
        <v>14</v>
      </c>
      <c r="H38" s="23">
        <f t="shared" si="0"/>
        <v>70</v>
      </c>
    </row>
    <row r="39" spans="1:8">
      <c r="A39" s="19">
        <v>37</v>
      </c>
      <c r="B39" s="18" t="s">
        <v>96</v>
      </c>
      <c r="C39" s="19" t="s">
        <v>178</v>
      </c>
      <c r="D39" s="19">
        <v>1</v>
      </c>
      <c r="E39" s="18"/>
      <c r="F39" s="18" t="s">
        <v>204</v>
      </c>
      <c r="G39" s="23">
        <v>15</v>
      </c>
      <c r="H39" s="23">
        <f t="shared" si="0"/>
        <v>15</v>
      </c>
    </row>
    <row r="40" spans="1:8" ht="124.2">
      <c r="A40" s="19">
        <v>38</v>
      </c>
      <c r="B40" s="18" t="s">
        <v>98</v>
      </c>
      <c r="C40" s="19" t="s">
        <v>178</v>
      </c>
      <c r="D40" s="19">
        <v>10</v>
      </c>
      <c r="E40" s="18" t="s">
        <v>168</v>
      </c>
      <c r="F40" s="18" t="s">
        <v>192</v>
      </c>
      <c r="G40" s="24">
        <v>1455</v>
      </c>
      <c r="H40" s="23">
        <f t="shared" si="0"/>
        <v>14550</v>
      </c>
    </row>
    <row r="41" spans="1:8" ht="124.2">
      <c r="A41" s="19">
        <v>39</v>
      </c>
      <c r="B41" s="18" t="s">
        <v>98</v>
      </c>
      <c r="C41" s="19" t="s">
        <v>178</v>
      </c>
      <c r="D41" s="19">
        <v>2</v>
      </c>
      <c r="E41" s="18" t="s">
        <v>169</v>
      </c>
      <c r="F41" s="18" t="s">
        <v>191</v>
      </c>
      <c r="G41" s="23">
        <v>969.23</v>
      </c>
      <c r="H41" s="23">
        <f t="shared" si="0"/>
        <v>1938.46</v>
      </c>
    </row>
    <row r="42" spans="1:8" ht="165.6">
      <c r="A42" s="19">
        <v>40</v>
      </c>
      <c r="B42" s="18" t="s">
        <v>99</v>
      </c>
      <c r="C42" s="19" t="s">
        <v>178</v>
      </c>
      <c r="D42" s="19">
        <v>1</v>
      </c>
      <c r="E42" s="18" t="s">
        <v>170</v>
      </c>
      <c r="F42" s="18">
        <v>0</v>
      </c>
      <c r="G42" s="23"/>
      <c r="H42" s="23">
        <f>D42*G42</f>
        <v>0</v>
      </c>
    </row>
    <row r="43" spans="1:8" ht="179.4">
      <c r="A43" s="19">
        <v>41</v>
      </c>
      <c r="B43" s="19" t="s">
        <v>97</v>
      </c>
      <c r="C43" s="19" t="s">
        <v>178</v>
      </c>
      <c r="D43" s="19">
        <v>8</v>
      </c>
      <c r="E43" s="18" t="s">
        <v>167</v>
      </c>
      <c r="F43" s="18">
        <v>0</v>
      </c>
      <c r="G43" s="23"/>
      <c r="H43" s="23">
        <f t="shared" si="0"/>
        <v>0</v>
      </c>
    </row>
    <row r="44" spans="1:8" ht="179.4">
      <c r="A44" s="19">
        <v>42</v>
      </c>
      <c r="B44" s="19" t="s">
        <v>97</v>
      </c>
      <c r="C44" s="19" t="s">
        <v>178</v>
      </c>
      <c r="D44" s="19">
        <v>2</v>
      </c>
      <c r="E44" s="18" t="s">
        <v>166</v>
      </c>
      <c r="F44" s="18">
        <v>0</v>
      </c>
      <c r="G44" s="23"/>
      <c r="H44" s="23">
        <f>D44*G44</f>
        <v>0</v>
      </c>
    </row>
    <row r="45" spans="1:8" ht="193.2">
      <c r="A45" s="19">
        <v>43</v>
      </c>
      <c r="B45" s="19" t="s">
        <v>183</v>
      </c>
      <c r="C45" s="19" t="s">
        <v>178</v>
      </c>
      <c r="D45" s="19">
        <v>20</v>
      </c>
      <c r="E45" s="18" t="s">
        <v>184</v>
      </c>
      <c r="F45" s="18" t="s">
        <v>199</v>
      </c>
      <c r="G45" s="23">
        <v>62.99</v>
      </c>
      <c r="H45" s="23">
        <f>D45*G45</f>
        <v>1259.8</v>
      </c>
    </row>
    <row r="46" spans="1:8">
      <c r="A46" s="30" t="s">
        <v>174</v>
      </c>
      <c r="B46" s="30"/>
      <c r="C46" s="30"/>
      <c r="D46" s="30"/>
      <c r="E46" s="30"/>
      <c r="F46" s="25"/>
      <c r="G46" s="29">
        <f>SUM(H2:H45)</f>
        <v>37450.850000000006</v>
      </c>
      <c r="H46" s="29"/>
    </row>
    <row r="47" spans="1:8">
      <c r="A47" s="30" t="s">
        <v>180</v>
      </c>
      <c r="B47" s="30"/>
      <c r="C47" s="30"/>
      <c r="D47" s="30"/>
      <c r="E47" s="30"/>
      <c r="F47" s="25"/>
      <c r="G47" s="29">
        <f>G46*18%</f>
        <v>6741.1530000000012</v>
      </c>
      <c r="H47" s="29"/>
    </row>
    <row r="48" spans="1:8">
      <c r="A48" s="31" t="s">
        <v>181</v>
      </c>
      <c r="B48" s="31"/>
      <c r="C48" s="31"/>
      <c r="D48" s="31"/>
      <c r="E48" s="31"/>
      <c r="F48" s="26"/>
      <c r="G48" s="29">
        <f>SUM(G46:H47)</f>
        <v>44192.003000000004</v>
      </c>
      <c r="H48" s="29"/>
    </row>
    <row r="49" spans="2:6">
      <c r="B49" s="2"/>
      <c r="C49" s="6"/>
      <c r="E49" s="2"/>
      <c r="F49" s="2"/>
    </row>
    <row r="50" spans="2:6">
      <c r="B50" s="2"/>
      <c r="C50" s="6"/>
      <c r="E50" s="2"/>
      <c r="F50" s="2"/>
    </row>
    <row r="51" spans="2:6">
      <c r="B51" s="2"/>
      <c r="C51" s="6"/>
      <c r="E51" s="2"/>
      <c r="F51" s="2"/>
    </row>
    <row r="52" spans="2:6">
      <c r="B52" s="2"/>
      <c r="C52" s="6"/>
      <c r="E52" s="2"/>
      <c r="F52" s="2"/>
    </row>
    <row r="53" spans="2:6">
      <c r="B53" s="2"/>
      <c r="C53" s="6"/>
      <c r="E53" s="2"/>
      <c r="F53" s="2"/>
    </row>
    <row r="54" spans="2:6">
      <c r="B54" s="2"/>
      <c r="C54" s="6"/>
      <c r="E54" s="2"/>
      <c r="F54" s="2"/>
    </row>
    <row r="55" spans="2:6">
      <c r="B55" s="2"/>
      <c r="C55" s="6"/>
      <c r="E55" s="2"/>
      <c r="F55" s="2"/>
    </row>
    <row r="56" spans="2:6">
      <c r="B56" s="2"/>
      <c r="C56" s="6"/>
      <c r="E56" s="2"/>
      <c r="F56" s="2"/>
    </row>
    <row r="57" spans="2:6">
      <c r="B57" s="2"/>
      <c r="C57" s="6"/>
      <c r="E57" s="2"/>
      <c r="F57" s="2"/>
    </row>
    <row r="58" spans="2:6">
      <c r="B58" s="2"/>
      <c r="C58" s="6"/>
      <c r="E58" s="2"/>
      <c r="F58" s="2"/>
    </row>
    <row r="59" spans="2:6">
      <c r="B59" s="2"/>
      <c r="C59" s="6"/>
      <c r="E59" s="2"/>
      <c r="F59" s="2"/>
    </row>
    <row r="60" spans="2:6">
      <c r="B60" s="2"/>
      <c r="C60" s="6"/>
      <c r="E60" s="2"/>
      <c r="F60" s="2"/>
    </row>
    <row r="61" spans="2:6">
      <c r="B61" s="2"/>
      <c r="C61" s="6"/>
      <c r="E61" s="2"/>
      <c r="F61" s="2"/>
    </row>
    <row r="62" spans="2:6">
      <c r="B62" s="2"/>
      <c r="C62" s="6"/>
      <c r="E62" s="2"/>
      <c r="F62" s="2"/>
    </row>
    <row r="63" spans="2:6">
      <c r="B63" s="2"/>
      <c r="C63" s="6"/>
      <c r="E63" s="2"/>
      <c r="F63" s="2"/>
    </row>
    <row r="64" spans="2:6">
      <c r="B64" s="2"/>
      <c r="C64" s="6"/>
      <c r="E64" s="2"/>
      <c r="F64" s="2"/>
    </row>
    <row r="65" spans="2:6">
      <c r="B65" s="2"/>
      <c r="C65" s="6"/>
      <c r="E65" s="2"/>
      <c r="F65" s="2"/>
    </row>
    <row r="66" spans="2:6">
      <c r="B66" s="2"/>
      <c r="C66" s="6"/>
      <c r="E66" s="2"/>
      <c r="F66" s="2"/>
    </row>
    <row r="67" spans="2:6">
      <c r="B67" s="2"/>
      <c r="C67" s="6"/>
      <c r="E67" s="2"/>
      <c r="F67" s="2"/>
    </row>
    <row r="68" spans="2:6">
      <c r="B68" s="2"/>
      <c r="C68" s="6"/>
      <c r="E68" s="2"/>
      <c r="F68" s="2"/>
    </row>
    <row r="69" spans="2:6">
      <c r="B69" s="2"/>
      <c r="C69" s="6"/>
      <c r="E69" s="2"/>
      <c r="F69" s="2"/>
    </row>
    <row r="70" spans="2:6">
      <c r="B70" s="2"/>
      <c r="C70" s="6"/>
      <c r="E70" s="2"/>
      <c r="F70" s="2"/>
    </row>
    <row r="71" spans="2:6">
      <c r="B71" s="2"/>
      <c r="C71" s="6"/>
      <c r="E71" s="2"/>
      <c r="F71" s="2"/>
    </row>
    <row r="72" spans="2:6">
      <c r="B72" s="2"/>
      <c r="C72" s="6"/>
      <c r="E72" s="2"/>
      <c r="F72" s="2"/>
    </row>
    <row r="73" spans="2:6">
      <c r="B73" s="2"/>
      <c r="C73" s="6"/>
      <c r="E73" s="2"/>
      <c r="F73" s="2"/>
    </row>
    <row r="74" spans="2:6">
      <c r="B74" s="2"/>
      <c r="C74" s="6"/>
      <c r="E74" s="2"/>
      <c r="F74" s="2"/>
    </row>
    <row r="75" spans="2:6">
      <c r="B75" s="2"/>
      <c r="C75" s="6"/>
      <c r="E75" s="2"/>
      <c r="F75" s="2"/>
    </row>
    <row r="76" spans="2:6">
      <c r="B76" s="2"/>
      <c r="C76" s="6"/>
      <c r="E76" s="2"/>
      <c r="F76" s="2"/>
    </row>
    <row r="77" spans="2:6">
      <c r="B77" s="2"/>
      <c r="C77" s="6"/>
      <c r="E77" s="2"/>
      <c r="F77" s="2"/>
    </row>
    <row r="78" spans="2:6">
      <c r="B78" s="2"/>
      <c r="C78" s="6"/>
      <c r="E78" s="2"/>
      <c r="F78" s="2"/>
    </row>
    <row r="79" spans="2:6">
      <c r="B79" s="2"/>
      <c r="C79" s="6"/>
      <c r="E79" s="2"/>
      <c r="F79" s="2"/>
    </row>
    <row r="80" spans="2:6">
      <c r="B80" s="2"/>
      <c r="C80" s="6"/>
      <c r="E80" s="2"/>
      <c r="F80" s="2"/>
    </row>
    <row r="81" spans="2:6">
      <c r="B81" s="2"/>
      <c r="C81" s="6"/>
      <c r="E81" s="2"/>
      <c r="F81" s="2"/>
    </row>
    <row r="82" spans="2:6">
      <c r="B82" s="2"/>
      <c r="C82" s="6"/>
      <c r="E82" s="2"/>
      <c r="F82" s="2"/>
    </row>
    <row r="83" spans="2:6">
      <c r="B83" s="2"/>
      <c r="C83" s="6"/>
      <c r="E83" s="2"/>
      <c r="F83" s="2"/>
    </row>
    <row r="84" spans="2:6">
      <c r="B84" s="2"/>
      <c r="C84" s="6"/>
      <c r="E84" s="2"/>
      <c r="F84" s="2"/>
    </row>
    <row r="85" spans="2:6">
      <c r="B85" s="2"/>
      <c r="C85" s="6"/>
      <c r="E85" s="2"/>
      <c r="F85" s="2"/>
    </row>
    <row r="86" spans="2:6">
      <c r="B86" s="2"/>
      <c r="C86" s="6"/>
      <c r="E86" s="2"/>
      <c r="F86" s="2"/>
    </row>
    <row r="87" spans="2:6">
      <c r="B87" s="2"/>
      <c r="C87" s="6"/>
      <c r="E87" s="2"/>
      <c r="F87" s="2"/>
    </row>
    <row r="88" spans="2:6">
      <c r="B88" s="2"/>
      <c r="C88" s="6"/>
      <c r="E88" s="2"/>
      <c r="F88" s="2"/>
    </row>
    <row r="89" spans="2:6">
      <c r="B89" s="2"/>
      <c r="C89" s="6"/>
      <c r="E89" s="2"/>
      <c r="F89" s="2"/>
    </row>
    <row r="90" spans="2:6">
      <c r="B90" s="2"/>
      <c r="C90" s="6"/>
      <c r="E90" s="2"/>
      <c r="F90" s="2"/>
    </row>
    <row r="91" spans="2:6">
      <c r="B91" s="2"/>
      <c r="C91" s="6"/>
      <c r="E91" s="2"/>
      <c r="F91" s="2"/>
    </row>
    <row r="92" spans="2:6">
      <c r="B92" s="2"/>
      <c r="C92" s="6"/>
      <c r="E92" s="2"/>
      <c r="F92" s="2"/>
    </row>
    <row r="93" spans="2:6">
      <c r="B93" s="2"/>
      <c r="C93" s="6"/>
      <c r="E93" s="2"/>
      <c r="F93" s="2"/>
    </row>
    <row r="94" spans="2:6">
      <c r="B94" s="2"/>
      <c r="C94" s="6"/>
      <c r="E94" s="2"/>
      <c r="F94" s="2"/>
    </row>
    <row r="95" spans="2:6">
      <c r="B95" s="2"/>
      <c r="C95" s="6"/>
      <c r="E95" s="2"/>
      <c r="F95" s="2"/>
    </row>
    <row r="96" spans="2:6">
      <c r="B96" s="2"/>
      <c r="C96" s="6"/>
      <c r="E96" s="2"/>
      <c r="F96" s="2"/>
    </row>
    <row r="97" spans="2:6">
      <c r="B97" s="2"/>
      <c r="C97" s="6"/>
      <c r="E97" s="2"/>
      <c r="F97" s="2"/>
    </row>
    <row r="98" spans="2:6">
      <c r="B98" s="2"/>
      <c r="C98" s="6"/>
      <c r="E98" s="2"/>
      <c r="F98" s="2"/>
    </row>
    <row r="99" spans="2:6">
      <c r="B99" s="2"/>
      <c r="C99" s="6"/>
      <c r="E99" s="2"/>
      <c r="F99" s="2"/>
    </row>
    <row r="100" spans="2:6">
      <c r="B100" s="2"/>
      <c r="C100" s="6"/>
      <c r="E100" s="2"/>
      <c r="F100" s="2"/>
    </row>
    <row r="101" spans="2:6">
      <c r="B101" s="2"/>
      <c r="C101" s="6"/>
      <c r="E101" s="2"/>
      <c r="F101" s="2"/>
    </row>
    <row r="102" spans="2:6">
      <c r="B102" s="2"/>
      <c r="C102" s="6"/>
      <c r="E102" s="2"/>
      <c r="F102" s="2"/>
    </row>
    <row r="103" spans="2:6">
      <c r="B103" s="2"/>
      <c r="C103" s="6"/>
      <c r="E103" s="2"/>
      <c r="F103" s="2"/>
    </row>
    <row r="104" spans="2:6">
      <c r="B104" s="2"/>
      <c r="C104" s="6"/>
      <c r="E104" s="2"/>
      <c r="F104" s="2"/>
    </row>
    <row r="105" spans="2:6">
      <c r="B105" s="2"/>
      <c r="C105" s="6"/>
      <c r="E105" s="2"/>
      <c r="F105" s="2"/>
    </row>
    <row r="106" spans="2:6">
      <c r="B106" s="2"/>
      <c r="C106" s="6"/>
      <c r="E106" s="2"/>
      <c r="F106" s="2"/>
    </row>
    <row r="107" spans="2:6">
      <c r="B107" s="2"/>
      <c r="C107" s="6"/>
      <c r="E107" s="2"/>
      <c r="F107" s="2"/>
    </row>
    <row r="108" spans="2:6">
      <c r="B108" s="2"/>
      <c r="C108" s="6"/>
      <c r="E108" s="2"/>
      <c r="F108" s="2"/>
    </row>
    <row r="109" spans="2:6">
      <c r="B109" s="2"/>
      <c r="C109" s="6"/>
      <c r="E109" s="2"/>
      <c r="F109" s="2"/>
    </row>
    <row r="110" spans="2:6">
      <c r="B110" s="2"/>
      <c r="C110" s="6"/>
      <c r="E110" s="2"/>
      <c r="F110" s="2"/>
    </row>
    <row r="111" spans="2:6">
      <c r="B111" s="2"/>
      <c r="C111" s="6"/>
      <c r="E111" s="2"/>
      <c r="F111" s="2"/>
    </row>
    <row r="112" spans="2:6">
      <c r="B112" s="2"/>
      <c r="C112" s="6"/>
      <c r="E112" s="2"/>
      <c r="F112" s="2"/>
    </row>
    <row r="113" spans="2:6">
      <c r="B113" s="2"/>
      <c r="C113" s="6"/>
      <c r="E113" s="2"/>
      <c r="F113" s="2"/>
    </row>
    <row r="114" spans="2:6">
      <c r="B114" s="2"/>
      <c r="C114" s="6"/>
      <c r="E114" s="2"/>
      <c r="F114" s="2"/>
    </row>
    <row r="115" spans="2:6">
      <c r="B115" s="2"/>
      <c r="C115" s="6"/>
      <c r="E115" s="2"/>
      <c r="F115" s="2"/>
    </row>
    <row r="116" spans="2:6">
      <c r="B116" s="2"/>
      <c r="C116" s="6"/>
      <c r="E116" s="2"/>
      <c r="F116" s="2"/>
    </row>
    <row r="117" spans="2:6">
      <c r="B117" s="2"/>
      <c r="C117" s="6"/>
      <c r="E117" s="2"/>
      <c r="F117" s="2"/>
    </row>
    <row r="118" spans="2:6">
      <c r="B118" s="2"/>
      <c r="C118" s="6"/>
      <c r="E118" s="2"/>
      <c r="F118" s="2"/>
    </row>
    <row r="119" spans="2:6">
      <c r="B119" s="2"/>
      <c r="C119" s="6"/>
      <c r="E119" s="2"/>
      <c r="F119" s="2"/>
    </row>
    <row r="120" spans="2:6">
      <c r="B120" s="2"/>
      <c r="C120" s="6"/>
      <c r="E120" s="2"/>
      <c r="F120" s="2"/>
    </row>
    <row r="121" spans="2:6">
      <c r="B121" s="2"/>
      <c r="C121" s="6"/>
      <c r="E121" s="2"/>
      <c r="F121" s="2"/>
    </row>
    <row r="122" spans="2:6">
      <c r="B122" s="2"/>
      <c r="C122" s="6"/>
      <c r="E122" s="2"/>
      <c r="F122" s="2"/>
    </row>
    <row r="123" spans="2:6">
      <c r="B123" s="2"/>
      <c r="C123" s="6"/>
      <c r="E123" s="2"/>
      <c r="F123" s="2"/>
    </row>
    <row r="124" spans="2:6">
      <c r="B124" s="2"/>
      <c r="C124" s="6"/>
      <c r="E124" s="2"/>
      <c r="F124" s="2"/>
    </row>
    <row r="125" spans="2:6">
      <c r="B125" s="2"/>
      <c r="C125" s="6"/>
      <c r="E125" s="2"/>
      <c r="F125" s="2"/>
    </row>
    <row r="126" spans="2:6">
      <c r="B126" s="2"/>
      <c r="C126" s="6"/>
      <c r="E126" s="2"/>
      <c r="F126" s="2"/>
    </row>
    <row r="127" spans="2:6">
      <c r="B127" s="2"/>
      <c r="C127" s="6"/>
      <c r="E127" s="2"/>
      <c r="F127" s="2"/>
    </row>
    <row r="128" spans="2:6">
      <c r="B128" s="2"/>
      <c r="C128" s="6"/>
      <c r="E128" s="2"/>
      <c r="F128" s="2"/>
    </row>
    <row r="129" spans="2:6">
      <c r="B129" s="2"/>
      <c r="C129" s="6"/>
      <c r="E129" s="2"/>
      <c r="F129" s="2"/>
    </row>
    <row r="130" spans="2:6">
      <c r="B130" s="2"/>
      <c r="C130" s="6"/>
      <c r="E130" s="2"/>
      <c r="F130" s="2"/>
    </row>
    <row r="131" spans="2:6">
      <c r="B131" s="2"/>
      <c r="C131" s="6"/>
      <c r="E131" s="2"/>
      <c r="F131" s="2"/>
    </row>
    <row r="132" spans="2:6">
      <c r="B132" s="2"/>
      <c r="C132" s="6"/>
      <c r="E132" s="2"/>
      <c r="F132" s="2"/>
    </row>
    <row r="133" spans="2:6">
      <c r="B133" s="2"/>
      <c r="C133" s="6"/>
      <c r="E133" s="2"/>
      <c r="F133" s="2"/>
    </row>
    <row r="134" spans="2:6">
      <c r="B134" s="2"/>
      <c r="C134" s="6"/>
      <c r="E134" s="2"/>
      <c r="F134" s="2"/>
    </row>
    <row r="135" spans="2:6">
      <c r="B135" s="2"/>
      <c r="C135" s="6"/>
      <c r="E135" s="2"/>
      <c r="F135" s="2"/>
    </row>
    <row r="136" spans="2:6">
      <c r="B136" s="2"/>
      <c r="C136" s="6"/>
      <c r="E136" s="2"/>
      <c r="F136" s="2"/>
    </row>
    <row r="137" spans="2:6">
      <c r="B137" s="2"/>
      <c r="C137" s="6"/>
      <c r="E137" s="2"/>
      <c r="F137" s="2"/>
    </row>
    <row r="138" spans="2:6">
      <c r="B138" s="2"/>
      <c r="C138" s="6"/>
      <c r="E138" s="2"/>
      <c r="F138" s="2"/>
    </row>
    <row r="139" spans="2:6">
      <c r="B139" s="2"/>
      <c r="C139" s="6"/>
      <c r="E139" s="2"/>
      <c r="F139" s="2"/>
    </row>
    <row r="140" spans="2:6">
      <c r="B140" s="2"/>
      <c r="C140" s="6"/>
      <c r="E140" s="2"/>
      <c r="F140" s="2"/>
    </row>
    <row r="141" spans="2:6">
      <c r="B141" s="2"/>
      <c r="C141" s="6"/>
      <c r="E141" s="2"/>
      <c r="F141" s="2"/>
    </row>
    <row r="142" spans="2:6">
      <c r="B142" s="2"/>
      <c r="C142" s="6"/>
      <c r="E142" s="2"/>
      <c r="F142" s="2"/>
    </row>
    <row r="143" spans="2:6">
      <c r="B143" s="2"/>
      <c r="C143" s="6"/>
      <c r="E143" s="2"/>
      <c r="F143" s="2"/>
    </row>
    <row r="144" spans="2:6">
      <c r="B144" s="2"/>
      <c r="C144" s="6"/>
      <c r="E144" s="2"/>
      <c r="F144" s="2"/>
    </row>
    <row r="145" spans="2:6">
      <c r="B145" s="2"/>
      <c r="C145" s="6"/>
      <c r="E145" s="2"/>
      <c r="F145" s="2"/>
    </row>
    <row r="146" spans="2:6">
      <c r="B146" s="2"/>
      <c r="C146" s="6"/>
      <c r="E146" s="2"/>
      <c r="F146" s="2"/>
    </row>
    <row r="147" spans="2:6">
      <c r="B147" s="2"/>
      <c r="C147" s="6"/>
      <c r="E147" s="2"/>
      <c r="F147" s="2"/>
    </row>
    <row r="148" spans="2:6">
      <c r="B148" s="2"/>
      <c r="C148" s="6"/>
      <c r="E148" s="2"/>
      <c r="F148" s="2"/>
    </row>
    <row r="149" spans="2:6">
      <c r="B149" s="2"/>
      <c r="C149" s="6"/>
      <c r="E149" s="2"/>
      <c r="F149" s="2"/>
    </row>
    <row r="150" spans="2:6">
      <c r="B150" s="2"/>
      <c r="C150" s="6"/>
      <c r="E150" s="2"/>
      <c r="F150" s="2"/>
    </row>
    <row r="151" spans="2:6">
      <c r="B151" s="2"/>
      <c r="C151" s="6"/>
      <c r="E151" s="2"/>
      <c r="F151" s="2"/>
    </row>
    <row r="152" spans="2:6">
      <c r="B152" s="2"/>
      <c r="C152" s="6"/>
      <c r="E152" s="2"/>
      <c r="F152" s="2"/>
    </row>
    <row r="153" spans="2:6">
      <c r="B153" s="2"/>
      <c r="C153" s="6"/>
      <c r="E153" s="2"/>
      <c r="F153" s="2"/>
    </row>
    <row r="154" spans="2:6">
      <c r="B154" s="2"/>
      <c r="C154" s="6"/>
      <c r="E154" s="2"/>
      <c r="F154" s="2"/>
    </row>
    <row r="155" spans="2:6">
      <c r="B155" s="2"/>
      <c r="C155" s="6"/>
      <c r="E155" s="2"/>
      <c r="F155" s="2"/>
    </row>
    <row r="156" spans="2:6">
      <c r="B156" s="2"/>
      <c r="C156" s="6"/>
      <c r="E156" s="2"/>
      <c r="F156" s="2"/>
    </row>
    <row r="157" spans="2:6">
      <c r="B157" s="2"/>
      <c r="C157" s="6"/>
      <c r="E157" s="2"/>
      <c r="F157" s="2"/>
    </row>
    <row r="158" spans="2:6">
      <c r="B158" s="2"/>
      <c r="C158" s="6"/>
      <c r="E158" s="2"/>
      <c r="F158" s="2"/>
    </row>
    <row r="159" spans="2:6">
      <c r="B159" s="2"/>
      <c r="C159" s="6"/>
      <c r="E159" s="2"/>
      <c r="F159" s="2"/>
    </row>
    <row r="160" spans="2:6">
      <c r="B160" s="2"/>
      <c r="C160" s="6"/>
      <c r="E160" s="2"/>
      <c r="F160" s="2"/>
    </row>
    <row r="161" spans="2:6">
      <c r="B161" s="2"/>
      <c r="C161" s="6"/>
      <c r="E161" s="2"/>
      <c r="F161" s="2"/>
    </row>
    <row r="162" spans="2:6">
      <c r="B162" s="2"/>
      <c r="C162" s="6"/>
      <c r="E162" s="2"/>
      <c r="F162" s="2"/>
    </row>
    <row r="163" spans="2:6">
      <c r="B163" s="2"/>
      <c r="C163" s="6"/>
      <c r="E163" s="2"/>
      <c r="F163" s="2"/>
    </row>
    <row r="164" spans="2:6">
      <c r="B164" s="2"/>
      <c r="C164" s="6"/>
      <c r="E164" s="2"/>
      <c r="F164" s="2"/>
    </row>
    <row r="165" spans="2:6">
      <c r="B165" s="2"/>
      <c r="C165" s="6"/>
      <c r="E165" s="2"/>
      <c r="F165" s="2"/>
    </row>
    <row r="166" spans="2:6">
      <c r="B166" s="2"/>
      <c r="C166" s="6"/>
      <c r="E166" s="2"/>
      <c r="F166" s="2"/>
    </row>
    <row r="167" spans="2:6">
      <c r="B167" s="2"/>
      <c r="C167" s="6"/>
      <c r="E167" s="2"/>
      <c r="F167" s="2"/>
    </row>
    <row r="168" spans="2:6">
      <c r="B168" s="2"/>
      <c r="C168" s="6"/>
      <c r="E168" s="2"/>
      <c r="F168" s="2"/>
    </row>
    <row r="169" spans="2:6">
      <c r="B169" s="2"/>
      <c r="C169" s="6"/>
      <c r="E169" s="2"/>
      <c r="F169" s="2"/>
    </row>
    <row r="170" spans="2:6">
      <c r="B170" s="2"/>
      <c r="C170" s="6"/>
      <c r="E170" s="2"/>
      <c r="F170" s="2"/>
    </row>
    <row r="171" spans="2:6">
      <c r="B171" s="2"/>
      <c r="C171" s="6"/>
      <c r="E171" s="2"/>
      <c r="F171" s="2"/>
    </row>
    <row r="172" spans="2:6">
      <c r="B172" s="2"/>
      <c r="C172" s="6"/>
      <c r="E172" s="2"/>
      <c r="F172" s="2"/>
    </row>
    <row r="173" spans="2:6">
      <c r="B173" s="2"/>
      <c r="C173" s="6"/>
      <c r="E173" s="2"/>
      <c r="F173" s="2"/>
    </row>
    <row r="174" spans="2:6">
      <c r="B174" s="2"/>
      <c r="C174" s="6"/>
      <c r="E174" s="2"/>
      <c r="F174" s="2"/>
    </row>
    <row r="175" spans="2:6">
      <c r="B175" s="2"/>
      <c r="C175" s="6"/>
      <c r="E175" s="2"/>
      <c r="F175" s="2"/>
    </row>
    <row r="176" spans="2:6">
      <c r="B176" s="2"/>
      <c r="C176" s="6"/>
      <c r="E176" s="2"/>
      <c r="F176" s="2"/>
    </row>
    <row r="177" spans="2:6">
      <c r="B177" s="2"/>
      <c r="C177" s="6"/>
      <c r="E177" s="2"/>
      <c r="F177" s="2"/>
    </row>
    <row r="178" spans="2:6">
      <c r="B178" s="2"/>
      <c r="C178" s="6"/>
      <c r="E178" s="2"/>
      <c r="F178" s="2"/>
    </row>
    <row r="179" spans="2:6">
      <c r="B179" s="2"/>
      <c r="C179" s="6"/>
      <c r="E179" s="2"/>
      <c r="F179" s="2"/>
    </row>
    <row r="180" spans="2:6">
      <c r="B180" s="2"/>
      <c r="C180" s="6"/>
      <c r="E180" s="2"/>
      <c r="F180" s="2"/>
    </row>
    <row r="181" spans="2:6">
      <c r="B181" s="2"/>
      <c r="C181" s="6"/>
      <c r="E181" s="2"/>
      <c r="F181" s="2"/>
    </row>
    <row r="182" spans="2:6">
      <c r="B182" s="2"/>
      <c r="C182" s="6"/>
      <c r="E182" s="2"/>
      <c r="F182" s="2"/>
    </row>
    <row r="183" spans="2:6">
      <c r="B183" s="2"/>
      <c r="C183" s="6"/>
      <c r="E183" s="2"/>
      <c r="F183" s="2"/>
    </row>
    <row r="184" spans="2:6">
      <c r="B184" s="2"/>
      <c r="C184" s="6"/>
      <c r="E184" s="2"/>
      <c r="F184" s="2"/>
    </row>
    <row r="185" spans="2:6">
      <c r="B185" s="2"/>
      <c r="C185" s="6"/>
      <c r="E185" s="2"/>
      <c r="F185" s="2"/>
    </row>
    <row r="186" spans="2:6">
      <c r="B186" s="2"/>
      <c r="C186" s="6"/>
      <c r="E186" s="2"/>
      <c r="F186" s="2"/>
    </row>
    <row r="187" spans="2:6">
      <c r="B187" s="2"/>
      <c r="C187" s="6"/>
      <c r="E187" s="2"/>
      <c r="F187" s="2"/>
    </row>
    <row r="188" spans="2:6">
      <c r="B188" s="2"/>
      <c r="C188" s="6"/>
      <c r="E188" s="2"/>
      <c r="F188" s="2"/>
    </row>
    <row r="189" spans="2:6">
      <c r="B189" s="2"/>
      <c r="C189" s="6"/>
      <c r="E189" s="2"/>
      <c r="F189" s="2"/>
    </row>
    <row r="190" spans="2:6">
      <c r="B190" s="2"/>
      <c r="C190" s="6"/>
      <c r="E190" s="2"/>
      <c r="F190" s="2"/>
    </row>
    <row r="191" spans="2:6">
      <c r="B191" s="2"/>
      <c r="C191" s="6"/>
      <c r="E191" s="2"/>
      <c r="F191" s="2"/>
    </row>
    <row r="192" spans="2:6">
      <c r="B192" s="2"/>
      <c r="C192" s="6"/>
      <c r="E192" s="2"/>
      <c r="F192" s="2"/>
    </row>
    <row r="193" spans="2:6">
      <c r="B193" s="2"/>
      <c r="C193" s="6"/>
      <c r="E193" s="2"/>
      <c r="F193" s="2"/>
    </row>
    <row r="194" spans="2:6">
      <c r="B194" s="2"/>
      <c r="C194" s="6"/>
      <c r="E194" s="2"/>
      <c r="F194" s="2"/>
    </row>
    <row r="195" spans="2:6">
      <c r="B195" s="2"/>
      <c r="C195" s="6"/>
      <c r="E195" s="2"/>
      <c r="F195" s="2"/>
    </row>
  </sheetData>
  <mergeCells count="7">
    <mergeCell ref="A7:A8"/>
    <mergeCell ref="G48:H48"/>
    <mergeCell ref="G47:H47"/>
    <mergeCell ref="G46:H46"/>
    <mergeCell ref="A46:E46"/>
    <mergeCell ref="A47:E47"/>
    <mergeCell ref="A48:E4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270CB-9AA7-439A-9EE2-8C7CB90DDA79}">
  <dimension ref="A1:A51"/>
  <sheetViews>
    <sheetView topLeftCell="A25" workbookViewId="0">
      <selection activeCell="A48" sqref="A48"/>
    </sheetView>
  </sheetViews>
  <sheetFormatPr defaultRowHeight="13.8"/>
  <cols>
    <col min="1" max="1" width="240.59765625" style="1" customWidth="1"/>
  </cols>
  <sheetData>
    <row r="1" spans="1:1" ht="17.399999999999999">
      <c r="A1" s="4" t="s">
        <v>13</v>
      </c>
    </row>
    <row r="3" spans="1:1" ht="15.6">
      <c r="A3" s="5" t="s">
        <v>14</v>
      </c>
    </row>
    <row r="4" spans="1:1" ht="27.6">
      <c r="A4" s="1" t="s">
        <v>15</v>
      </c>
    </row>
    <row r="6" spans="1:1" ht="15.6">
      <c r="A6" s="5" t="s">
        <v>16</v>
      </c>
    </row>
    <row r="7" spans="1:1">
      <c r="A7" s="1" t="s">
        <v>17</v>
      </c>
    </row>
    <row r="8" spans="1:1">
      <c r="A8" s="3" t="s">
        <v>18</v>
      </c>
    </row>
    <row r="9" spans="1:1">
      <c r="A9" s="3" t="s">
        <v>19</v>
      </c>
    </row>
    <row r="10" spans="1:1">
      <c r="A10" s="3" t="s">
        <v>20</v>
      </c>
    </row>
    <row r="11" spans="1:1">
      <c r="A11" s="3" t="s">
        <v>21</v>
      </c>
    </row>
    <row r="12" spans="1:1">
      <c r="A12" s="3" t="s">
        <v>22</v>
      </c>
    </row>
    <row r="13" spans="1:1">
      <c r="A13" s="3" t="s">
        <v>23</v>
      </c>
    </row>
    <row r="14" spans="1:1">
      <c r="A14" s="3" t="s">
        <v>24</v>
      </c>
    </row>
    <row r="16" spans="1:1" ht="15.6">
      <c r="A16" s="5" t="s">
        <v>25</v>
      </c>
    </row>
    <row r="17" spans="1:1">
      <c r="A17" s="3" t="s">
        <v>26</v>
      </c>
    </row>
    <row r="18" spans="1:1">
      <c r="A18" s="3" t="s">
        <v>27</v>
      </c>
    </row>
    <row r="19" spans="1:1">
      <c r="A19" s="3" t="s">
        <v>28</v>
      </c>
    </row>
    <row r="20" spans="1:1">
      <c r="A20" s="3" t="s">
        <v>29</v>
      </c>
    </row>
    <row r="21" spans="1:1">
      <c r="A21" s="3" t="s">
        <v>30</v>
      </c>
    </row>
    <row r="22" spans="1:1">
      <c r="A22" s="3" t="s">
        <v>31</v>
      </c>
    </row>
    <row r="23" spans="1:1">
      <c r="A23" s="3" t="s">
        <v>32</v>
      </c>
    </row>
    <row r="25" spans="1:1" ht="15.6">
      <c r="A25" s="5" t="s">
        <v>33</v>
      </c>
    </row>
    <row r="26" spans="1:1">
      <c r="A26" s="3" t="s">
        <v>34</v>
      </c>
    </row>
    <row r="27" spans="1:1">
      <c r="A27" s="3" t="s">
        <v>35</v>
      </c>
    </row>
    <row r="28" spans="1:1">
      <c r="A28" s="3" t="s">
        <v>36</v>
      </c>
    </row>
    <row r="29" spans="1:1">
      <c r="A29" s="3" t="s">
        <v>37</v>
      </c>
    </row>
    <row r="30" spans="1:1">
      <c r="A30" s="3" t="s">
        <v>38</v>
      </c>
    </row>
    <row r="31" spans="1:1">
      <c r="A31" s="3" t="s">
        <v>39</v>
      </c>
    </row>
    <row r="33" spans="1:1" ht="15.6">
      <c r="A33" s="5" t="s">
        <v>40</v>
      </c>
    </row>
    <row r="34" spans="1:1">
      <c r="A34" s="3" t="s">
        <v>41</v>
      </c>
    </row>
    <row r="35" spans="1:1">
      <c r="A35" s="3" t="s">
        <v>42</v>
      </c>
    </row>
    <row r="37" spans="1:1" ht="15.6">
      <c r="A37" s="5" t="s">
        <v>43</v>
      </c>
    </row>
    <row r="38" spans="1:1">
      <c r="A38" s="1" t="s">
        <v>44</v>
      </c>
    </row>
    <row r="39" spans="1:1">
      <c r="A39" s="3" t="s">
        <v>45</v>
      </c>
    </row>
    <row r="40" spans="1:1">
      <c r="A40" s="3" t="s">
        <v>46</v>
      </c>
    </row>
    <row r="41" spans="1:1">
      <c r="A41" s="3" t="s">
        <v>47</v>
      </c>
    </row>
    <row r="42" spans="1:1">
      <c r="A42" s="3" t="s">
        <v>48</v>
      </c>
    </row>
    <row r="43" spans="1:1">
      <c r="A43" s="3" t="s">
        <v>49</v>
      </c>
    </row>
    <row r="45" spans="1:1">
      <c r="A45" s="3" t="s">
        <v>50</v>
      </c>
    </row>
    <row r="47" spans="1:1" ht="17.399999999999999">
      <c r="A47" s="4" t="s">
        <v>51</v>
      </c>
    </row>
    <row r="48" spans="1:1">
      <c r="A48" s="3" t="s">
        <v>52</v>
      </c>
    </row>
    <row r="49" spans="1:1">
      <c r="A49" s="3" t="s">
        <v>53</v>
      </c>
    </row>
    <row r="50" spans="1:1">
      <c r="A50" s="3" t="s">
        <v>54</v>
      </c>
    </row>
    <row r="51" spans="1:1">
      <c r="A51" s="3"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D9A74-299D-4B0C-8348-5D19ED0A364E}">
  <dimension ref="A1:D40"/>
  <sheetViews>
    <sheetView workbookViewId="0">
      <selection sqref="A1:B40"/>
    </sheetView>
  </sheetViews>
  <sheetFormatPr defaultRowHeight="13.8"/>
  <cols>
    <col min="1" max="1" width="45.59765625" customWidth="1"/>
    <col min="2" max="2" width="97.09765625" customWidth="1"/>
    <col min="4" max="4" width="58" customWidth="1"/>
  </cols>
  <sheetData>
    <row r="1" spans="1:4" ht="17.399999999999999" thickBot="1">
      <c r="A1" s="14" t="s">
        <v>161</v>
      </c>
      <c r="B1" s="1"/>
    </row>
    <row r="2" spans="1:4" ht="14.4" thickBot="1">
      <c r="A2" s="8" t="s">
        <v>103</v>
      </c>
      <c r="B2" s="9" t="s">
        <v>104</v>
      </c>
      <c r="D2" s="16" t="s">
        <v>164</v>
      </c>
    </row>
    <row r="3" spans="1:4" ht="14.4" thickBot="1">
      <c r="A3" s="10" t="s">
        <v>105</v>
      </c>
      <c r="B3" s="11" t="s">
        <v>106</v>
      </c>
      <c r="D3" s="32" t="s">
        <v>163</v>
      </c>
    </row>
    <row r="4" spans="1:4" ht="14.4" thickBot="1">
      <c r="A4" s="12" t="s">
        <v>107</v>
      </c>
      <c r="B4" s="13" t="s">
        <v>108</v>
      </c>
      <c r="D4" s="33"/>
    </row>
    <row r="5" spans="1:4" ht="14.4" thickBot="1">
      <c r="A5" s="10" t="s">
        <v>109</v>
      </c>
      <c r="B5" s="11" t="s">
        <v>110</v>
      </c>
      <c r="D5" s="33"/>
    </row>
    <row r="6" spans="1:4" ht="14.4" thickBot="1">
      <c r="A6" s="12" t="s">
        <v>111</v>
      </c>
      <c r="B6" s="13" t="s">
        <v>112</v>
      </c>
      <c r="D6" s="33"/>
    </row>
    <row r="7" spans="1:4" ht="14.4" thickBot="1">
      <c r="A7" s="10" t="s">
        <v>113</v>
      </c>
      <c r="B7" s="11" t="s">
        <v>114</v>
      </c>
      <c r="D7" s="33"/>
    </row>
    <row r="8" spans="1:4" ht="14.4" thickBot="1">
      <c r="A8" s="12" t="s">
        <v>115</v>
      </c>
      <c r="B8" s="13" t="s">
        <v>116</v>
      </c>
      <c r="D8" s="33"/>
    </row>
    <row r="9" spans="1:4" ht="14.4" thickBot="1">
      <c r="A9" s="10" t="s">
        <v>117</v>
      </c>
      <c r="B9" s="11" t="s">
        <v>118</v>
      </c>
      <c r="D9" s="33"/>
    </row>
    <row r="10" spans="1:4" ht="14.4" thickBot="1">
      <c r="A10" s="12" t="s">
        <v>119</v>
      </c>
      <c r="B10" s="13" t="s">
        <v>120</v>
      </c>
      <c r="D10" s="33"/>
    </row>
    <row r="11" spans="1:4">
      <c r="A11" s="15"/>
      <c r="B11" s="1"/>
    </row>
    <row r="12" spans="1:4" ht="17.399999999999999" thickBot="1">
      <c r="A12" s="14" t="s">
        <v>121</v>
      </c>
      <c r="B12" s="1"/>
    </row>
    <row r="13" spans="1:4" ht="14.4" thickBot="1">
      <c r="A13" s="8" t="s">
        <v>103</v>
      </c>
      <c r="B13" s="9" t="s">
        <v>104</v>
      </c>
    </row>
    <row r="14" spans="1:4" ht="14.4" thickBot="1">
      <c r="A14" s="10" t="s">
        <v>122</v>
      </c>
      <c r="B14" s="11" t="s">
        <v>123</v>
      </c>
    </row>
    <row r="15" spans="1:4" ht="14.4" thickBot="1">
      <c r="A15" s="12" t="s">
        <v>124</v>
      </c>
      <c r="B15" s="13" t="s">
        <v>125</v>
      </c>
    </row>
    <row r="16" spans="1:4" ht="14.4" thickBot="1">
      <c r="A16" s="10" t="s">
        <v>126</v>
      </c>
      <c r="B16" s="11" t="s">
        <v>127</v>
      </c>
    </row>
    <row r="17" spans="1:2" ht="14.4" thickBot="1">
      <c r="A17" s="12" t="s">
        <v>128</v>
      </c>
      <c r="B17" s="13" t="s">
        <v>129</v>
      </c>
    </row>
    <row r="18" spans="1:2" ht="14.4" thickBot="1">
      <c r="A18" s="10" t="s">
        <v>130</v>
      </c>
      <c r="B18" s="11" t="s">
        <v>131</v>
      </c>
    </row>
    <row r="19" spans="1:2" ht="14.4" thickBot="1">
      <c r="A19" s="12" t="s">
        <v>132</v>
      </c>
      <c r="B19" s="13" t="s">
        <v>133</v>
      </c>
    </row>
    <row r="20" spans="1:2">
      <c r="A20" s="15"/>
      <c r="B20" s="1"/>
    </row>
    <row r="21" spans="1:2" ht="17.399999999999999" thickBot="1">
      <c r="A21" s="14" t="s">
        <v>134</v>
      </c>
      <c r="B21" s="1"/>
    </row>
    <row r="22" spans="1:2" ht="14.4" thickBot="1">
      <c r="A22" s="8" t="s">
        <v>103</v>
      </c>
      <c r="B22" s="9" t="s">
        <v>104</v>
      </c>
    </row>
    <row r="23" spans="1:2" ht="14.4" thickBot="1">
      <c r="A23" s="10" t="s">
        <v>135</v>
      </c>
      <c r="B23" s="11" t="s">
        <v>136</v>
      </c>
    </row>
    <row r="24" spans="1:2" ht="14.4" thickBot="1">
      <c r="A24" s="12" t="s">
        <v>137</v>
      </c>
      <c r="B24" s="13" t="s">
        <v>138</v>
      </c>
    </row>
    <row r="25" spans="1:2" ht="14.4" thickBot="1">
      <c r="A25" s="10" t="s">
        <v>139</v>
      </c>
      <c r="B25" s="11" t="s">
        <v>140</v>
      </c>
    </row>
    <row r="26" spans="1:2" ht="14.4" thickBot="1">
      <c r="A26" s="12" t="s">
        <v>141</v>
      </c>
      <c r="B26" s="13" t="s">
        <v>142</v>
      </c>
    </row>
    <row r="27" spans="1:2" ht="14.4" thickBot="1">
      <c r="A27" s="10" t="s">
        <v>143</v>
      </c>
      <c r="B27" s="11" t="s">
        <v>144</v>
      </c>
    </row>
    <row r="28" spans="1:2">
      <c r="A28" s="15"/>
      <c r="B28" s="1"/>
    </row>
    <row r="29" spans="1:2" ht="17.399999999999999" thickBot="1">
      <c r="A29" s="14" t="s">
        <v>145</v>
      </c>
      <c r="B29" s="1"/>
    </row>
    <row r="30" spans="1:2" ht="14.4" thickBot="1">
      <c r="A30" s="8" t="s">
        <v>103</v>
      </c>
      <c r="B30" s="9" t="s">
        <v>104</v>
      </c>
    </row>
    <row r="31" spans="1:2" ht="14.4" thickBot="1">
      <c r="A31" s="10" t="s">
        <v>146</v>
      </c>
      <c r="B31" s="11" t="s">
        <v>147</v>
      </c>
    </row>
    <row r="32" spans="1:2" ht="14.4" thickBot="1">
      <c r="A32" s="12" t="s">
        <v>148</v>
      </c>
      <c r="B32" s="13" t="s">
        <v>149</v>
      </c>
    </row>
    <row r="33" spans="1:2" ht="14.4" thickBot="1">
      <c r="A33" s="10" t="s">
        <v>150</v>
      </c>
      <c r="B33" s="11" t="s">
        <v>151</v>
      </c>
    </row>
    <row r="34" spans="1:2">
      <c r="A34" s="15"/>
      <c r="B34" s="1"/>
    </row>
    <row r="35" spans="1:2" ht="17.399999999999999" thickBot="1">
      <c r="A35" s="14" t="s">
        <v>152</v>
      </c>
      <c r="B35" s="1"/>
    </row>
    <row r="36" spans="1:2" ht="14.4" thickBot="1">
      <c r="A36" s="8" t="s">
        <v>103</v>
      </c>
      <c r="B36" s="9" t="s">
        <v>104</v>
      </c>
    </row>
    <row r="37" spans="1:2" ht="14.4" thickBot="1">
      <c r="A37" s="10" t="s">
        <v>153</v>
      </c>
      <c r="B37" s="11" t="s">
        <v>154</v>
      </c>
    </row>
    <row r="38" spans="1:2" ht="14.4" thickBot="1">
      <c r="A38" s="12" t="s">
        <v>155</v>
      </c>
      <c r="B38" s="13" t="s">
        <v>156</v>
      </c>
    </row>
    <row r="39" spans="1:2" ht="14.4" thickBot="1">
      <c r="A39" s="10" t="s">
        <v>157</v>
      </c>
      <c r="B39" s="11" t="s">
        <v>158</v>
      </c>
    </row>
    <row r="40" spans="1:2" ht="14.4" thickBot="1">
      <c r="A40" s="12" t="s">
        <v>159</v>
      </c>
      <c r="B40" s="13" t="s">
        <v>160</v>
      </c>
    </row>
  </sheetData>
  <mergeCells count="1">
    <mergeCell ref="D3:D10"/>
  </mergeCells>
  <hyperlinks>
    <hyperlink ref="D3" r:id="rId1" xr:uid="{9D31B480-A46E-42F0-9DC6-FA05522F99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Mehdi Aslanov</dc:creator>
  <cp:lastModifiedBy>Zeyneb Alamova</cp:lastModifiedBy>
  <dcterms:created xsi:type="dcterms:W3CDTF">2026-03-12T11:34:41Z</dcterms:created>
  <dcterms:modified xsi:type="dcterms:W3CDTF">2026-05-01T13:25:45Z</dcterms:modified>
</cp:coreProperties>
</file>