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lvina.cumayeva\Downloads\"/>
    </mc:Choice>
  </mc:AlternateContent>
  <xr:revisionPtr revIDLastSave="0" documentId="8_{9F3F1CE7-44CE-4C29-B976-649BA4BBB8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2" i="1"/>
  <c r="H29" i="1"/>
  <c r="H27" i="1"/>
  <c r="H25" i="1"/>
  <c r="H24" i="1"/>
  <c r="H22" i="1"/>
  <c r="H20" i="1"/>
  <c r="H19" i="1"/>
  <c r="H17" i="1"/>
  <c r="H14" i="1"/>
  <c r="H10" i="1"/>
  <c r="H5" i="1"/>
  <c r="H2" i="1"/>
</calcChain>
</file>

<file path=xl/sharedStrings.xml><?xml version="1.0" encoding="utf-8"?>
<sst xmlns="http://schemas.openxmlformats.org/spreadsheetml/2006/main" count="66" uniqueCount="53">
  <si>
    <t>NVR 32 ch</t>
  </si>
  <si>
    <t>Video qeydiyyat cihazı 32 kanallı NVR</t>
  </si>
  <si>
    <t>ədəd</t>
  </si>
  <si>
    <t>AcuSense 4K NVR</t>
  </si>
  <si>
    <t>İçəri kamera 2MPX</t>
  </si>
  <si>
    <t>Daxili 2 MP IP kamera</t>
  </si>
  <si>
    <t>Varifokal PTZ camera 4MPX</t>
  </si>
  <si>
    <t>4 MP PTZ şəbəkə video kamera</t>
  </si>
  <si>
    <t>Çöl kamera 2MPX</t>
  </si>
  <si>
    <t>2 MP Outdoor IP Kamera — Sabit Bullet Tipli</t>
  </si>
  <si>
    <t>Sərt disk 8 TB</t>
  </si>
  <si>
    <t>Videomüşahidə üçün HDD</t>
  </si>
  <si>
    <t>Kronşteyn</t>
  </si>
  <si>
    <t>Kameraları üçün Montaj Qutusu</t>
  </si>
  <si>
    <t>RBOX Junction Box</t>
  </si>
  <si>
    <t>RJ45 konnektor CAT 5</t>
  </si>
  <si>
    <t>RJ45 Konnektor (CAT5)</t>
  </si>
  <si>
    <t>RJ45 konnektor CAT 6</t>
  </si>
  <si>
    <t>RJ45 Konnektor (CAT6)</t>
  </si>
  <si>
    <t>Adaptor 12V2A</t>
  </si>
  <si>
    <t>Güc Adapteri 12V 2A</t>
  </si>
  <si>
    <t>GR-12-2A Power adapter 12V2A</t>
  </si>
  <si>
    <t>Adaptor 12V5A</t>
  </si>
  <si>
    <t>Güc Adapteri 12V 5A</t>
  </si>
  <si>
    <t>Adaptor 12V30A</t>
  </si>
  <si>
    <t>Güc Adapteri 12V 30A</t>
  </si>
  <si>
    <t>Rack 12 U 600x600</t>
  </si>
  <si>
    <t>Divar Tipli Şkaf (Rack) 12U 600×600</t>
  </si>
  <si>
    <t>Switch 8port</t>
  </si>
  <si>
    <t>8-Port Gigabit Switch</t>
  </si>
  <si>
    <t>HIKVISION - HikCentral-P-VSS/Base</t>
  </si>
  <si>
    <t>Hikvision lisenziya</t>
  </si>
  <si>
    <t>Video Kanal Lisenziyası</t>
  </si>
  <si>
    <t>MODEL</t>
  </si>
  <si>
    <t>S/N</t>
  </si>
  <si>
    <t>HIKVISION - DS-7732NXI-K4(D) (32-ch/4 HDD) 1.5U K Series</t>
  </si>
  <si>
    <t>HIKVISION - DS-2CD2723G2-LIZS2U (2.8-12mm) 2MP IR40m/LED40m Acusense Smart Hybrid Light Motorized Varifocal Dome Network Camera</t>
  </si>
  <si>
    <t>HIKVISION - DS-2DE4425IW-DE (4.8-120 mm) 4 MP 25X Powered by DarkFighter IR Acusense Network Speed Dome</t>
  </si>
  <si>
    <t>HIKVISION - DS80HKVS-VX1 (8TB/5400RPM)</t>
  </si>
  <si>
    <t>HIKVISION - DS-2CD2027G2-LU (2.8mm) 2 MP IR40m ColorVu Fixed Mini Bullet Network Camera</t>
  </si>
  <si>
    <t>VOLTAM VH-54 RJ45-CAT5 UTP 8P8C 1 gold plated (Cek (RJ-45)</t>
  </si>
  <si>
    <t>TPLİNK RJ45 UTP CAT 6 PAKET (100 PCS)</t>
  </si>
  <si>
    <t>VOLTAM CCTV Power Supply 12V 5A / 60W</t>
  </si>
  <si>
    <t>VOLTAM CCTV Power Supply 12V 30A / 360W</t>
  </si>
  <si>
    <t>VOLTAM - VR-6612 - 12U Rack Cabin 600x600x650 mm Wall mounted</t>
  </si>
  <si>
    <t>TP-Link - LS108GP (8-Port Gigabit Desktop Switch with 8-Port PoE+)</t>
  </si>
  <si>
    <t>MİQDAR</t>
  </si>
  <si>
    <t>ÖLÇÜ
VAHİDİ</t>
  </si>
  <si>
    <t>TƏKLİF EDİLƏN MODEL</t>
  </si>
  <si>
    <t>QİYMƏT
(ƏDV-li)</t>
  </si>
  <si>
    <t>MƏBLƏĞ
(ƏDV-li)</t>
  </si>
  <si>
    <t>YEKUN(ƏDV-li)</t>
  </si>
  <si>
    <t>HIKVISION - HikCentral-P-VSS-1Ch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</si>
</sst>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[$₼-82C]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168" fontId="6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168" fontId="7" fillId="2" borderId="1" xfId="0" applyNumberFormat="1" applyFont="1" applyFill="1" applyBorder="1" applyAlignment="1">
      <alignment horizontal="right" vertical="center"/>
    </xf>
    <xf numFmtId="168" fontId="6" fillId="0" borderId="2" xfId="0" applyNumberFormat="1" applyFont="1" applyBorder="1" applyAlignment="1">
      <alignment horizontal="right"/>
    </xf>
    <xf numFmtId="168" fontId="6" fillId="0" borderId="3" xfId="0" applyNumberFormat="1" applyFont="1" applyBorder="1" applyAlignment="1">
      <alignment horizontal="right"/>
    </xf>
    <xf numFmtId="168" fontId="6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I5" sqref="I5"/>
    </sheetView>
  </sheetViews>
  <sheetFormatPr defaultRowHeight="14.4" x14ac:dyDescent="0.3"/>
  <cols>
    <col min="1" max="1" width="4" style="14" bestFit="1" customWidth="1"/>
    <col min="2" max="2" width="24.5546875" customWidth="1"/>
    <col min="3" max="3" width="37.88671875" customWidth="1"/>
    <col min="4" max="4" width="8" bestFit="1" customWidth="1"/>
    <col min="5" max="5" width="9.109375" customWidth="1"/>
    <col min="6" max="6" width="60.33203125" customWidth="1"/>
    <col min="8" max="8" width="14.44140625" bestFit="1" customWidth="1"/>
  </cols>
  <sheetData>
    <row r="1" spans="1:8" ht="28.8" x14ac:dyDescent="0.3">
      <c r="A1" s="16" t="s">
        <v>34</v>
      </c>
      <c r="B1" s="17" t="s">
        <v>33</v>
      </c>
      <c r="C1" s="17"/>
      <c r="D1" s="16" t="s">
        <v>46</v>
      </c>
      <c r="E1" s="18" t="s">
        <v>47</v>
      </c>
      <c r="F1" s="16" t="s">
        <v>48</v>
      </c>
      <c r="G1" s="18" t="s">
        <v>49</v>
      </c>
      <c r="H1" s="18" t="s">
        <v>50</v>
      </c>
    </row>
    <row r="2" spans="1:8" ht="33" customHeight="1" x14ac:dyDescent="0.3">
      <c r="A2" s="12">
        <v>1</v>
      </c>
      <c r="B2" s="1" t="s">
        <v>0</v>
      </c>
      <c r="C2" s="1" t="s">
        <v>1</v>
      </c>
      <c r="D2" s="2">
        <v>40</v>
      </c>
      <c r="E2" s="3" t="s">
        <v>2</v>
      </c>
      <c r="F2" s="9" t="s">
        <v>35</v>
      </c>
      <c r="G2" s="21">
        <v>522.62</v>
      </c>
      <c r="H2" s="21">
        <f>G2*D2</f>
        <v>20904.8</v>
      </c>
    </row>
    <row r="3" spans="1:8" ht="40.200000000000003" hidden="1" customHeight="1" x14ac:dyDescent="0.3">
      <c r="A3" s="12"/>
      <c r="B3" s="1"/>
      <c r="C3" s="1"/>
      <c r="D3" s="2"/>
      <c r="E3" s="3"/>
      <c r="F3" s="10"/>
      <c r="G3" s="22"/>
      <c r="H3" s="22"/>
    </row>
    <row r="4" spans="1:8" hidden="1" x14ac:dyDescent="0.3">
      <c r="A4" s="12"/>
      <c r="B4" s="1"/>
      <c r="C4" s="1"/>
      <c r="D4" s="2"/>
      <c r="E4" s="3"/>
      <c r="F4" s="4" t="s">
        <v>3</v>
      </c>
      <c r="G4" s="15"/>
      <c r="H4" s="15"/>
    </row>
    <row r="5" spans="1:8" ht="37.200000000000003" customHeight="1" x14ac:dyDescent="0.3">
      <c r="A5" s="12">
        <v>2</v>
      </c>
      <c r="B5" s="1" t="s">
        <v>4</v>
      </c>
      <c r="C5" s="1" t="s">
        <v>5</v>
      </c>
      <c r="D5" s="2">
        <v>400</v>
      </c>
      <c r="E5" s="3" t="s">
        <v>2</v>
      </c>
      <c r="F5" s="9" t="s">
        <v>36</v>
      </c>
      <c r="G5" s="21">
        <v>260.97000000000003</v>
      </c>
      <c r="H5" s="21">
        <f>G5*D5</f>
        <v>104388.00000000001</v>
      </c>
    </row>
    <row r="6" spans="1:8" ht="9" hidden="1" customHeight="1" x14ac:dyDescent="0.3">
      <c r="A6" s="12"/>
      <c r="B6" s="1"/>
      <c r="C6" s="1"/>
      <c r="D6" s="2"/>
      <c r="E6" s="3"/>
      <c r="F6" s="11"/>
      <c r="G6" s="23"/>
      <c r="H6" s="23"/>
    </row>
    <row r="7" spans="1:8" ht="1.8" hidden="1" customHeight="1" x14ac:dyDescent="0.3">
      <c r="A7" s="12"/>
      <c r="B7" s="1"/>
      <c r="C7" s="1"/>
      <c r="D7" s="2"/>
      <c r="E7" s="3"/>
      <c r="F7" s="11"/>
      <c r="G7" s="23"/>
      <c r="H7" s="23"/>
    </row>
    <row r="8" spans="1:8" hidden="1" x14ac:dyDescent="0.3">
      <c r="A8" s="12"/>
      <c r="B8" s="1"/>
      <c r="C8" s="1"/>
      <c r="D8" s="2"/>
      <c r="E8" s="3"/>
      <c r="F8" s="11"/>
      <c r="G8" s="23"/>
      <c r="H8" s="23"/>
    </row>
    <row r="9" spans="1:8" hidden="1" x14ac:dyDescent="0.3">
      <c r="A9" s="12"/>
      <c r="B9" s="1"/>
      <c r="C9" s="1"/>
      <c r="D9" s="2"/>
      <c r="E9" s="3"/>
      <c r="F9" s="10"/>
      <c r="G9" s="22"/>
      <c r="H9" s="22"/>
    </row>
    <row r="10" spans="1:8" ht="39" customHeight="1" x14ac:dyDescent="0.3">
      <c r="A10" s="12">
        <v>3</v>
      </c>
      <c r="B10" s="1" t="s">
        <v>6</v>
      </c>
      <c r="C10" s="1" t="s">
        <v>7</v>
      </c>
      <c r="D10" s="2">
        <v>35</v>
      </c>
      <c r="E10" s="3" t="s">
        <v>2</v>
      </c>
      <c r="F10" s="9" t="s">
        <v>37</v>
      </c>
      <c r="G10" s="21">
        <v>489.7</v>
      </c>
      <c r="H10" s="21">
        <f>G10*D10</f>
        <v>17139.5</v>
      </c>
    </row>
    <row r="11" spans="1:8" hidden="1" x14ac:dyDescent="0.3">
      <c r="A11" s="12"/>
      <c r="B11" s="1"/>
      <c r="C11" s="1"/>
      <c r="D11" s="2"/>
      <c r="E11" s="3"/>
      <c r="F11" s="11"/>
      <c r="G11" s="23"/>
      <c r="H11" s="23"/>
    </row>
    <row r="12" spans="1:8" hidden="1" x14ac:dyDescent="0.3">
      <c r="A12" s="12"/>
      <c r="B12" s="1"/>
      <c r="C12" s="1"/>
      <c r="D12" s="2"/>
      <c r="E12" s="3"/>
      <c r="F12" s="11"/>
      <c r="G12" s="23"/>
      <c r="H12" s="23"/>
    </row>
    <row r="13" spans="1:8" hidden="1" x14ac:dyDescent="0.3">
      <c r="A13" s="12"/>
      <c r="B13" s="1"/>
      <c r="C13" s="1"/>
      <c r="D13" s="2"/>
      <c r="E13" s="3"/>
      <c r="F13" s="10"/>
      <c r="G13" s="22"/>
      <c r="H13" s="22"/>
    </row>
    <row r="14" spans="1:8" ht="30.6" customHeight="1" x14ac:dyDescent="0.3">
      <c r="A14" s="12">
        <v>4</v>
      </c>
      <c r="B14" s="1" t="s">
        <v>8</v>
      </c>
      <c r="C14" s="1" t="s">
        <v>9</v>
      </c>
      <c r="D14" s="2">
        <v>50</v>
      </c>
      <c r="E14" s="3" t="s">
        <v>2</v>
      </c>
      <c r="F14" s="9" t="s">
        <v>39</v>
      </c>
      <c r="G14" s="21">
        <v>183.17</v>
      </c>
      <c r="H14" s="21">
        <f>G14*D14</f>
        <v>9158.5</v>
      </c>
    </row>
    <row r="15" spans="1:8" hidden="1" x14ac:dyDescent="0.3">
      <c r="A15" s="12"/>
      <c r="B15" s="1"/>
      <c r="C15" s="1"/>
      <c r="D15" s="2"/>
      <c r="E15" s="3"/>
      <c r="F15" s="11"/>
      <c r="G15" s="23"/>
      <c r="H15" s="23"/>
    </row>
    <row r="16" spans="1:8" hidden="1" x14ac:dyDescent="0.3">
      <c r="A16" s="12"/>
      <c r="B16" s="1"/>
      <c r="C16" s="1"/>
      <c r="D16" s="2"/>
      <c r="E16" s="3"/>
      <c r="F16" s="10"/>
      <c r="G16" s="22"/>
      <c r="H16" s="22"/>
    </row>
    <row r="17" spans="1:8" ht="23.4" customHeight="1" x14ac:dyDescent="0.3">
      <c r="A17" s="12">
        <v>5</v>
      </c>
      <c r="B17" s="1" t="s">
        <v>10</v>
      </c>
      <c r="C17" s="1" t="s">
        <v>11</v>
      </c>
      <c r="D17" s="2">
        <v>190</v>
      </c>
      <c r="E17" s="3" t="s">
        <v>2</v>
      </c>
      <c r="F17" s="9" t="s">
        <v>38</v>
      </c>
      <c r="G17" s="21">
        <v>828</v>
      </c>
      <c r="H17" s="21">
        <f>G17*D17</f>
        <v>157320</v>
      </c>
    </row>
    <row r="18" spans="1:8" ht="4.2" hidden="1" customHeight="1" x14ac:dyDescent="0.3">
      <c r="A18" s="12"/>
      <c r="B18" s="1"/>
      <c r="C18" s="1"/>
      <c r="D18" s="2"/>
      <c r="E18" s="3"/>
      <c r="F18" s="10"/>
      <c r="G18" s="22"/>
      <c r="H18" s="22"/>
    </row>
    <row r="19" spans="1:8" ht="15.6" x14ac:dyDescent="0.3">
      <c r="A19" s="13">
        <v>6</v>
      </c>
      <c r="B19" s="5" t="s">
        <v>12</v>
      </c>
      <c r="C19" s="5" t="s">
        <v>13</v>
      </c>
      <c r="D19" s="6">
        <v>150</v>
      </c>
      <c r="E19" s="7" t="s">
        <v>2</v>
      </c>
      <c r="F19" s="8" t="s">
        <v>14</v>
      </c>
      <c r="G19" s="15">
        <v>0.9</v>
      </c>
      <c r="H19" s="15">
        <f>G19*D19</f>
        <v>135</v>
      </c>
    </row>
    <row r="20" spans="1:8" ht="34.200000000000003" customHeight="1" x14ac:dyDescent="0.3">
      <c r="A20" s="12">
        <v>7</v>
      </c>
      <c r="B20" s="1" t="s">
        <v>15</v>
      </c>
      <c r="C20" s="1" t="s">
        <v>16</v>
      </c>
      <c r="D20" s="2">
        <v>1500</v>
      </c>
      <c r="E20" s="3" t="s">
        <v>2</v>
      </c>
      <c r="F20" s="9" t="s">
        <v>40</v>
      </c>
      <c r="G20" s="21">
        <v>0.1</v>
      </c>
      <c r="H20" s="21">
        <f>G20*D20</f>
        <v>150</v>
      </c>
    </row>
    <row r="21" spans="1:8" ht="3" hidden="1" customHeight="1" x14ac:dyDescent="0.3">
      <c r="A21" s="12"/>
      <c r="B21" s="1"/>
      <c r="C21" s="1"/>
      <c r="D21" s="2"/>
      <c r="E21" s="3"/>
      <c r="F21" s="10"/>
      <c r="G21" s="22"/>
      <c r="H21" s="22"/>
    </row>
    <row r="22" spans="1:8" ht="28.8" customHeight="1" x14ac:dyDescent="0.3">
      <c r="A22" s="12">
        <v>8</v>
      </c>
      <c r="B22" s="1" t="s">
        <v>17</v>
      </c>
      <c r="C22" s="1" t="s">
        <v>18</v>
      </c>
      <c r="D22" s="2">
        <v>2500</v>
      </c>
      <c r="E22" s="3" t="s">
        <v>2</v>
      </c>
      <c r="F22" s="9" t="s">
        <v>41</v>
      </c>
      <c r="G22" s="21">
        <v>0.12</v>
      </c>
      <c r="H22" s="21">
        <f>G22*D22</f>
        <v>300</v>
      </c>
    </row>
    <row r="23" spans="1:8" ht="4.2" customHeight="1" x14ac:dyDescent="0.3">
      <c r="A23" s="12"/>
      <c r="B23" s="1"/>
      <c r="C23" s="1"/>
      <c r="D23" s="2"/>
      <c r="E23" s="3"/>
      <c r="F23" s="10"/>
      <c r="G23" s="22"/>
      <c r="H23" s="22"/>
    </row>
    <row r="24" spans="1:8" ht="28.8" x14ac:dyDescent="0.3">
      <c r="A24" s="13">
        <v>9</v>
      </c>
      <c r="B24" s="5" t="s">
        <v>19</v>
      </c>
      <c r="C24" s="5" t="s">
        <v>20</v>
      </c>
      <c r="D24" s="6">
        <v>50</v>
      </c>
      <c r="E24" s="7" t="s">
        <v>2</v>
      </c>
      <c r="F24" s="8" t="s">
        <v>21</v>
      </c>
      <c r="G24" s="15">
        <v>5.96</v>
      </c>
      <c r="H24" s="15">
        <f>G24*D24</f>
        <v>298</v>
      </c>
    </row>
    <row r="25" spans="1:8" ht="28.8" customHeight="1" x14ac:dyDescent="0.3">
      <c r="A25" s="12">
        <v>10</v>
      </c>
      <c r="B25" s="1" t="s">
        <v>22</v>
      </c>
      <c r="C25" s="1" t="s">
        <v>23</v>
      </c>
      <c r="D25" s="2">
        <v>50</v>
      </c>
      <c r="E25" s="3" t="s">
        <v>2</v>
      </c>
      <c r="F25" s="9" t="s">
        <v>42</v>
      </c>
      <c r="G25" s="21">
        <v>7</v>
      </c>
      <c r="H25" s="21">
        <f>G25*D25</f>
        <v>350</v>
      </c>
    </row>
    <row r="26" spans="1:8" ht="3.6" customHeight="1" x14ac:dyDescent="0.3">
      <c r="A26" s="12"/>
      <c r="B26" s="1"/>
      <c r="C26" s="1"/>
      <c r="D26" s="2"/>
      <c r="E26" s="3"/>
      <c r="F26" s="10"/>
      <c r="G26" s="22"/>
      <c r="H26" s="22"/>
    </row>
    <row r="27" spans="1:8" ht="28.8" customHeight="1" x14ac:dyDescent="0.3">
      <c r="A27" s="12">
        <v>11</v>
      </c>
      <c r="B27" s="1" t="s">
        <v>24</v>
      </c>
      <c r="C27" s="1" t="s">
        <v>25</v>
      </c>
      <c r="D27" s="2">
        <v>100</v>
      </c>
      <c r="E27" s="3" t="s">
        <v>2</v>
      </c>
      <c r="F27" s="9" t="s">
        <v>43</v>
      </c>
      <c r="G27" s="21">
        <v>17.03</v>
      </c>
      <c r="H27" s="21">
        <f>G27*D27</f>
        <v>1703</v>
      </c>
    </row>
    <row r="28" spans="1:8" hidden="1" x14ac:dyDescent="0.3">
      <c r="A28" s="12"/>
      <c r="B28" s="1"/>
      <c r="C28" s="1"/>
      <c r="D28" s="2"/>
      <c r="E28" s="3"/>
      <c r="F28" s="10"/>
      <c r="G28" s="22"/>
      <c r="H28" s="22"/>
    </row>
    <row r="29" spans="1:8" ht="31.2" customHeight="1" x14ac:dyDescent="0.3">
      <c r="A29" s="12">
        <v>12</v>
      </c>
      <c r="B29" s="1" t="s">
        <v>26</v>
      </c>
      <c r="C29" s="1" t="s">
        <v>27</v>
      </c>
      <c r="D29" s="2">
        <v>10</v>
      </c>
      <c r="E29" s="3" t="s">
        <v>2</v>
      </c>
      <c r="F29" s="9" t="s">
        <v>44</v>
      </c>
      <c r="G29" s="21">
        <v>100.87</v>
      </c>
      <c r="H29" s="21">
        <f>G29*D29</f>
        <v>1008.7</v>
      </c>
    </row>
    <row r="30" spans="1:8" ht="3" hidden="1" customHeight="1" x14ac:dyDescent="0.3">
      <c r="A30" s="12"/>
      <c r="B30" s="1"/>
      <c r="C30" s="1"/>
      <c r="D30" s="2"/>
      <c r="E30" s="3"/>
      <c r="F30" s="11"/>
      <c r="G30" s="23"/>
      <c r="H30" s="23"/>
    </row>
    <row r="31" spans="1:8" hidden="1" x14ac:dyDescent="0.3">
      <c r="A31" s="12"/>
      <c r="B31" s="1"/>
      <c r="C31" s="1"/>
      <c r="D31" s="2"/>
      <c r="E31" s="3"/>
      <c r="F31" s="10"/>
      <c r="G31" s="22"/>
      <c r="H31" s="22"/>
    </row>
    <row r="32" spans="1:8" ht="31.2" customHeight="1" x14ac:dyDescent="0.3">
      <c r="A32" s="12">
        <v>13</v>
      </c>
      <c r="B32" s="1" t="s">
        <v>28</v>
      </c>
      <c r="C32" s="1" t="s">
        <v>29</v>
      </c>
      <c r="D32" s="2">
        <v>80</v>
      </c>
      <c r="E32" s="3" t="s">
        <v>2</v>
      </c>
      <c r="F32" s="9" t="s">
        <v>45</v>
      </c>
      <c r="G32" s="21">
        <v>83.29</v>
      </c>
      <c r="H32" s="21">
        <f>G32*D32</f>
        <v>6663.2000000000007</v>
      </c>
    </row>
    <row r="33" spans="1:8" hidden="1" x14ac:dyDescent="0.3">
      <c r="A33" s="12"/>
      <c r="B33" s="1"/>
      <c r="C33" s="1"/>
      <c r="D33" s="2"/>
      <c r="E33" s="3"/>
      <c r="F33" s="10"/>
      <c r="G33" s="22"/>
      <c r="H33" s="22"/>
    </row>
    <row r="34" spans="1:8" ht="15.6" x14ac:dyDescent="0.3">
      <c r="A34" s="13">
        <v>14</v>
      </c>
      <c r="B34" s="5"/>
      <c r="C34" s="5"/>
      <c r="D34" s="6"/>
      <c r="E34" s="7"/>
      <c r="F34" s="8" t="s">
        <v>30</v>
      </c>
      <c r="G34" s="15"/>
      <c r="H34" s="15"/>
    </row>
    <row r="35" spans="1:8" ht="15.6" x14ac:dyDescent="0.3">
      <c r="A35" s="13">
        <v>15</v>
      </c>
      <c r="B35" s="5" t="s">
        <v>31</v>
      </c>
      <c r="C35" s="5" t="s">
        <v>32</v>
      </c>
      <c r="D35" s="6">
        <v>485</v>
      </c>
      <c r="E35" s="7" t="s">
        <v>2</v>
      </c>
      <c r="F35" s="8" t="s">
        <v>52</v>
      </c>
      <c r="G35" s="15">
        <v>105</v>
      </c>
      <c r="H35" s="15">
        <f>G35*D35</f>
        <v>50925</v>
      </c>
    </row>
    <row r="36" spans="1:8" ht="27.6" customHeight="1" x14ac:dyDescent="0.3">
      <c r="A36" s="19" t="s">
        <v>51</v>
      </c>
      <c r="B36" s="19"/>
      <c r="C36" s="19"/>
      <c r="D36" s="19"/>
      <c r="E36" s="19"/>
      <c r="F36" s="19"/>
      <c r="G36" s="19"/>
      <c r="H36" s="20">
        <f>SUM(H2:H35)</f>
        <v>370443.70000000007</v>
      </c>
    </row>
  </sheetData>
  <mergeCells count="90">
    <mergeCell ref="H27:H28"/>
    <mergeCell ref="G27:G28"/>
    <mergeCell ref="H29:H31"/>
    <mergeCell ref="G29:G31"/>
    <mergeCell ref="H32:H33"/>
    <mergeCell ref="G32:G33"/>
    <mergeCell ref="G22:G23"/>
    <mergeCell ref="H20:H21"/>
    <mergeCell ref="G20:G21"/>
    <mergeCell ref="H17:H18"/>
    <mergeCell ref="G17:G18"/>
    <mergeCell ref="H14:H16"/>
    <mergeCell ref="G14:G16"/>
    <mergeCell ref="A36:G36"/>
    <mergeCell ref="H2:H3"/>
    <mergeCell ref="G2:G3"/>
    <mergeCell ref="H10:H13"/>
    <mergeCell ref="G10:G13"/>
    <mergeCell ref="H5:H9"/>
    <mergeCell ref="G5:G9"/>
    <mergeCell ref="H25:H26"/>
    <mergeCell ref="G25:G26"/>
    <mergeCell ref="H22:H23"/>
    <mergeCell ref="F20:F21"/>
    <mergeCell ref="F22:F23"/>
    <mergeCell ref="F25:F26"/>
    <mergeCell ref="F27:F28"/>
    <mergeCell ref="F29:F31"/>
    <mergeCell ref="F32:F33"/>
    <mergeCell ref="F2:F3"/>
    <mergeCell ref="F5:F9"/>
    <mergeCell ref="F10:F13"/>
    <mergeCell ref="F17:F18"/>
    <mergeCell ref="F14:F16"/>
    <mergeCell ref="A32:A33"/>
    <mergeCell ref="B32:B33"/>
    <mergeCell ref="C32:C33"/>
    <mergeCell ref="D32:D33"/>
    <mergeCell ref="E32:E33"/>
    <mergeCell ref="B1:C1"/>
    <mergeCell ref="A27:A28"/>
    <mergeCell ref="B27:B28"/>
    <mergeCell ref="C27:C28"/>
    <mergeCell ref="D27:D28"/>
    <mergeCell ref="E27:E28"/>
    <mergeCell ref="A29:A31"/>
    <mergeCell ref="B29:B31"/>
    <mergeCell ref="C29:C31"/>
    <mergeCell ref="D29:D31"/>
    <mergeCell ref="E29:E31"/>
    <mergeCell ref="A22:A23"/>
    <mergeCell ref="B22:B23"/>
    <mergeCell ref="C22:C23"/>
    <mergeCell ref="D22:D23"/>
    <mergeCell ref="E22:E23"/>
    <mergeCell ref="A25:A26"/>
    <mergeCell ref="B25:B26"/>
    <mergeCell ref="C25:C26"/>
    <mergeCell ref="D25:D26"/>
    <mergeCell ref="E25:E26"/>
    <mergeCell ref="A17:A18"/>
    <mergeCell ref="B17:B18"/>
    <mergeCell ref="C17:C18"/>
    <mergeCell ref="D17:D18"/>
    <mergeCell ref="E17:E18"/>
    <mergeCell ref="A20:A21"/>
    <mergeCell ref="B20:B21"/>
    <mergeCell ref="C20:C21"/>
    <mergeCell ref="D20:D21"/>
    <mergeCell ref="E20:E21"/>
    <mergeCell ref="A10:A13"/>
    <mergeCell ref="B10:B13"/>
    <mergeCell ref="C10:C13"/>
    <mergeCell ref="D10:D13"/>
    <mergeCell ref="E10:E13"/>
    <mergeCell ref="A14:A16"/>
    <mergeCell ref="B14:B16"/>
    <mergeCell ref="C14:C16"/>
    <mergeCell ref="D14:D16"/>
    <mergeCell ref="E14:E16"/>
    <mergeCell ref="A2:A4"/>
    <mergeCell ref="B2:B4"/>
    <mergeCell ref="C2:C4"/>
    <mergeCell ref="D2:D4"/>
    <mergeCell ref="E2:E4"/>
    <mergeCell ref="A5:A9"/>
    <mergeCell ref="B5:B9"/>
    <mergeCell ref="C5:C9"/>
    <mergeCell ref="D5:D9"/>
    <mergeCell ref="E5:E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Alvina Cumayeva</dc:creator>
  <cp:lastModifiedBy>Alvina Cumayeva</cp:lastModifiedBy>
  <dcterms:created xsi:type="dcterms:W3CDTF">2015-06-05T18:17:20Z</dcterms:created>
  <dcterms:modified xsi:type="dcterms:W3CDTF">2026-03-14T08:34:49Z</dcterms:modified>
</cp:coreProperties>
</file>