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13_ncr:1_{7FE7A336-7F14-47AE-A975-D64DC3A9D4B8}" xr6:coauthVersionLast="47" xr6:coauthVersionMax="47" xr10:uidLastSave="{00000000-0000-0000-0000-000000000000}"/>
  <bookViews>
    <workbookView xWindow="-108" yWindow="-108" windowWidth="23256" windowHeight="12456" xr2:uid="{5614935C-61EF-4B61-9F59-9E3B25DFC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" i="1" l="1"/>
  <c r="F23" i="1"/>
  <c r="F21" i="1"/>
  <c r="F20" i="1"/>
  <c r="F22" i="1"/>
  <c r="F25" i="1"/>
  <c r="F14" i="1"/>
  <c r="F12" i="1"/>
  <c r="F11" i="1"/>
  <c r="F16" i="1"/>
  <c r="F18" i="1"/>
  <c r="F17" i="1"/>
  <c r="F15" i="1"/>
  <c r="L14" i="1"/>
  <c r="L13" i="1"/>
  <c r="F13" i="1"/>
  <c r="F19" i="1"/>
  <c r="F10" i="1"/>
  <c r="F9" i="1"/>
  <c r="F8" i="1"/>
  <c r="F7" i="1"/>
  <c r="F6" i="1"/>
  <c r="F5" i="1"/>
  <c r="F4" i="1"/>
  <c r="F3" i="1"/>
  <c r="F2" i="1"/>
  <c r="F26" i="1" l="1"/>
</calcChain>
</file>

<file path=xl/sharedStrings.xml><?xml version="1.0" encoding="utf-8"?>
<sst xmlns="http://schemas.openxmlformats.org/spreadsheetml/2006/main" count="61" uniqueCount="40">
  <si>
    <t xml:space="preserve">MƏHSUL </t>
  </si>
  <si>
    <t>ÖLÇÜ VAHİDİ</t>
  </si>
  <si>
    <t>MİQDAR</t>
  </si>
  <si>
    <t>QİYMƏT</t>
  </si>
  <si>
    <t>MƏBLƏĞ</t>
  </si>
  <si>
    <t>ƏDƏD</t>
  </si>
  <si>
    <t>METR</t>
  </si>
  <si>
    <t>QUTU</t>
  </si>
  <si>
    <t>HIKVISION - DS-2CD1047G2H-LIUF (2.8mm) 4MP IR30m/LED30m ColorVu with Smart Hybrid Light Fixed Bullet Network Camera</t>
  </si>
  <si>
    <t>HIKVISION - DS-2CD1347G2H-LIUF (2.8mm) 4MP IR30m/LED30m  ColorVu with Smart Hybrid Light Fixed Turret Network Camera</t>
  </si>
  <si>
    <t>HIKVISION - DS-7764NI-M4 (64-ch/4 HDD) 1.5U 8K NVR</t>
  </si>
  <si>
    <t>TP-Link - ES206GP (Omada 6-Port Gigabit Easy Managed Switch with 4-Port PoE+)</t>
  </si>
  <si>
    <t>TP-Link - ES208GP (Omada 8-Port Gigabit Easy Managed Switch with 8-Port PoE+)</t>
  </si>
  <si>
    <t>HIKVISION - DS40HKVS-VX1 (4TB/5400RPM)</t>
  </si>
  <si>
    <t>VOLTAM - VR-6609 - 9U  Rack Cabin 600x600x500 mm Wall mounted</t>
  </si>
  <si>
    <t>DATALINK RJ45 - CAT5E CONNECTOR (PURPLE)</t>
  </si>
  <si>
    <t>VOLTAM VM-32" MONİTOR 32 inch 75 HZ monitor FHD VA panel HDMI+VGA</t>
  </si>
  <si>
    <t>IZOLENT VINI-TAPE</t>
  </si>
  <si>
    <t>ALTERNATİV OLARAQ</t>
  </si>
  <si>
    <r>
      <t xml:space="preserve">VOLTAM CAT 5E </t>
    </r>
    <r>
      <rPr>
        <sz val="11"/>
        <color rgb="FFFF0000"/>
        <rFont val="Calibri"/>
        <family val="2"/>
        <scheme val="minor"/>
      </rPr>
      <t>UTP</t>
    </r>
    <r>
      <rPr>
        <sz val="11"/>
        <color theme="1"/>
        <rFont val="Calibri"/>
        <family val="2"/>
        <scheme val="minor"/>
      </rPr>
      <t xml:space="preserve"> INDOOR HALOGEN FREE Şəbəkə Kabeli  0.51 mm pure copper +0.91HDPE +5.1 mm PVC Fluke pass 500-METR</t>
    </r>
  </si>
  <si>
    <r>
      <t xml:space="preserve">VOLTAM CAT </t>
    </r>
    <r>
      <rPr>
        <sz val="11"/>
        <color rgb="FFFF0000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FTP INDOOR HALOGEN FREE  Şəbəkə Kabeli 0.57 mm pure copper +1.0 HDPE +ground wire +Al foil +6.4mm PVC Fluke pass 500-METR</t>
    </r>
  </si>
  <si>
    <t>TPLİNK RJ45 UTP CAT 6 PAKET (100 PCS)</t>
  </si>
  <si>
    <t>qiymət</t>
  </si>
  <si>
    <t>məbləğ</t>
  </si>
  <si>
    <t>RBOX Junction Box</t>
  </si>
  <si>
    <t>VOLTAM PD-01 6 way EU type PDU</t>
  </si>
  <si>
    <t>ZAJİM 3.6X250 SM QARA</t>
  </si>
  <si>
    <t>Elektrik yuvası çöl tipli</t>
  </si>
  <si>
    <t>Xortum F20</t>
  </si>
  <si>
    <t>Xortum F32</t>
  </si>
  <si>
    <t>Elektrik kabeli 2x1.5</t>
  </si>
  <si>
    <t>HDMİ KABEL 10 metrlik</t>
  </si>
  <si>
    <t>TOPLAM</t>
  </si>
  <si>
    <t>Elektrik qutu 30x40 sm</t>
  </si>
  <si>
    <t>Şrup 6 mm</t>
  </si>
  <si>
    <t>Propka</t>
  </si>
  <si>
    <t>PAÇKA</t>
  </si>
  <si>
    <t xml:space="preserve">6 metrlik kamera dirəyi </t>
  </si>
  <si>
    <t>Anker bolt dəsti M-20 (4ədəd anker bolt, 12-ədəd qayka, 8-ədəd şayba, 1-ədəd xamut 6-liq)</t>
  </si>
  <si>
    <t>DƏST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</si>
</sst>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67EF-DB8D-4C1F-B136-BC139B0C1F0F}">
  <dimension ref="A1:L26"/>
  <sheetViews>
    <sheetView tabSelected="1" workbookViewId="0">
      <selection activeCell="F12" sqref="F12"/>
    </sheetView>
  </sheetViews>
  <sheetFormatPr defaultRowHeight="14.4" x14ac:dyDescent="0.3"/>
  <cols>
    <col min="1" max="1" width="3.6640625" bestFit="1" customWidth="1"/>
    <col min="2" max="2" width="53.77734375" customWidth="1"/>
    <col min="3" max="3" width="14.77734375" bestFit="1" customWidth="1"/>
    <col min="4" max="4" width="9.88671875" bestFit="1" customWidth="1"/>
    <col min="5" max="5" width="9.6640625" bestFit="1" customWidth="1"/>
    <col min="6" max="6" width="10.77734375" bestFit="1" customWidth="1"/>
    <col min="8" max="8" width="49.21875" customWidth="1"/>
  </cols>
  <sheetData>
    <row r="1" spans="1:12" ht="18" x14ac:dyDescent="0.35">
      <c r="A1" s="1"/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12" ht="43.8" x14ac:dyDescent="0.35">
      <c r="A2" s="2">
        <v>1</v>
      </c>
      <c r="B2" s="5" t="s">
        <v>8</v>
      </c>
      <c r="C2" s="4" t="s">
        <v>5</v>
      </c>
      <c r="D2" s="4">
        <v>34</v>
      </c>
      <c r="E2" s="4">
        <v>143.38</v>
      </c>
      <c r="F2" s="4">
        <f t="shared" ref="F2:F19" si="0">E2*D2</f>
        <v>4874.92</v>
      </c>
    </row>
    <row r="3" spans="1:12" ht="43.8" x14ac:dyDescent="0.35">
      <c r="A3" s="2">
        <v>2</v>
      </c>
      <c r="B3" s="5" t="s">
        <v>9</v>
      </c>
      <c r="C3" s="4" t="s">
        <v>5</v>
      </c>
      <c r="D3" s="4">
        <v>2</v>
      </c>
      <c r="E3" s="4">
        <v>139.61000000000001</v>
      </c>
      <c r="F3" s="4">
        <f t="shared" si="0"/>
        <v>279.22000000000003</v>
      </c>
    </row>
    <row r="4" spans="1:12" ht="18" x14ac:dyDescent="0.35">
      <c r="A4" s="2">
        <v>3</v>
      </c>
      <c r="B4" s="1" t="s">
        <v>10</v>
      </c>
      <c r="C4" s="4" t="s">
        <v>5</v>
      </c>
      <c r="D4" s="4">
        <v>1</v>
      </c>
      <c r="E4" s="4">
        <v>695.22</v>
      </c>
      <c r="F4" s="4">
        <f t="shared" si="0"/>
        <v>695.22</v>
      </c>
    </row>
    <row r="5" spans="1:12" ht="29.4" x14ac:dyDescent="0.35">
      <c r="A5" s="2">
        <v>4</v>
      </c>
      <c r="B5" s="5" t="s">
        <v>11</v>
      </c>
      <c r="C5" s="4" t="s">
        <v>5</v>
      </c>
      <c r="D5" s="4">
        <v>2</v>
      </c>
      <c r="E5" s="4">
        <v>87.5</v>
      </c>
      <c r="F5" s="4">
        <f t="shared" si="0"/>
        <v>175</v>
      </c>
    </row>
    <row r="6" spans="1:12" ht="29.4" x14ac:dyDescent="0.35">
      <c r="A6" s="2">
        <v>5</v>
      </c>
      <c r="B6" s="5" t="s">
        <v>12</v>
      </c>
      <c r="C6" s="4" t="s">
        <v>5</v>
      </c>
      <c r="D6" s="4">
        <v>4</v>
      </c>
      <c r="E6" s="4">
        <v>133</v>
      </c>
      <c r="F6" s="4">
        <f t="shared" si="0"/>
        <v>532</v>
      </c>
    </row>
    <row r="7" spans="1:12" ht="18" x14ac:dyDescent="0.35">
      <c r="A7" s="2">
        <v>6</v>
      </c>
      <c r="B7" s="1" t="s">
        <v>13</v>
      </c>
      <c r="C7" s="4" t="s">
        <v>5</v>
      </c>
      <c r="D7" s="4">
        <v>3</v>
      </c>
      <c r="E7" s="4">
        <v>350.99</v>
      </c>
      <c r="F7" s="4">
        <f t="shared" si="0"/>
        <v>1052.97</v>
      </c>
    </row>
    <row r="8" spans="1:12" ht="29.4" x14ac:dyDescent="0.35">
      <c r="A8" s="2">
        <v>7</v>
      </c>
      <c r="B8" s="5" t="s">
        <v>14</v>
      </c>
      <c r="C8" s="4" t="s">
        <v>5</v>
      </c>
      <c r="D8" s="4">
        <v>1</v>
      </c>
      <c r="E8" s="4">
        <v>72</v>
      </c>
      <c r="F8" s="4">
        <f t="shared" si="0"/>
        <v>72</v>
      </c>
    </row>
    <row r="9" spans="1:12" ht="18" x14ac:dyDescent="0.35">
      <c r="A9" s="2">
        <v>8</v>
      </c>
      <c r="B9" s="1" t="s">
        <v>15</v>
      </c>
      <c r="C9" s="4" t="s">
        <v>5</v>
      </c>
      <c r="D9" s="4">
        <v>100</v>
      </c>
      <c r="E9" s="4">
        <v>0.12</v>
      </c>
      <c r="F9" s="4">
        <f t="shared" si="0"/>
        <v>12</v>
      </c>
    </row>
    <row r="10" spans="1:12" ht="29.4" x14ac:dyDescent="0.35">
      <c r="A10" s="2">
        <v>9</v>
      </c>
      <c r="B10" s="5" t="s">
        <v>16</v>
      </c>
      <c r="C10" s="4" t="s">
        <v>5</v>
      </c>
      <c r="D10" s="4">
        <v>1</v>
      </c>
      <c r="E10" s="4">
        <v>204.36</v>
      </c>
      <c r="F10" s="4">
        <f t="shared" si="0"/>
        <v>204.36</v>
      </c>
    </row>
    <row r="11" spans="1:12" ht="18" x14ac:dyDescent="0.35">
      <c r="A11" s="2">
        <v>10</v>
      </c>
      <c r="B11" s="1" t="s">
        <v>28</v>
      </c>
      <c r="C11" s="4" t="s">
        <v>6</v>
      </c>
      <c r="D11" s="4">
        <v>500</v>
      </c>
      <c r="E11" s="4">
        <v>17.5</v>
      </c>
      <c r="F11" s="4">
        <f t="shared" si="0"/>
        <v>8750</v>
      </c>
    </row>
    <row r="12" spans="1:12" ht="18" x14ac:dyDescent="0.35">
      <c r="A12" s="2">
        <v>11</v>
      </c>
      <c r="B12" s="1" t="s">
        <v>29</v>
      </c>
      <c r="C12" s="4" t="s">
        <v>6</v>
      </c>
      <c r="D12" s="4">
        <v>1300</v>
      </c>
      <c r="E12" s="4">
        <v>31.25</v>
      </c>
      <c r="F12" s="4">
        <f t="shared" si="0"/>
        <v>40625</v>
      </c>
      <c r="H12" s="4" t="s">
        <v>18</v>
      </c>
      <c r="K12" s="1" t="s">
        <v>22</v>
      </c>
      <c r="L12" s="1" t="s">
        <v>23</v>
      </c>
    </row>
    <row r="13" spans="1:12" ht="43.8" x14ac:dyDescent="0.35">
      <c r="A13" s="2">
        <v>12</v>
      </c>
      <c r="B13" s="5" t="s">
        <v>19</v>
      </c>
      <c r="C13" s="4" t="s">
        <v>6</v>
      </c>
      <c r="D13" s="4">
        <v>2700</v>
      </c>
      <c r="E13" s="4">
        <v>0.54</v>
      </c>
      <c r="F13" s="4">
        <f t="shared" si="0"/>
        <v>1458</v>
      </c>
      <c r="H13" s="5" t="s">
        <v>20</v>
      </c>
      <c r="I13" s="4" t="s">
        <v>6</v>
      </c>
      <c r="J13" s="4">
        <v>2700</v>
      </c>
      <c r="K13" s="4">
        <v>0.85</v>
      </c>
      <c r="L13" s="4">
        <f>K13*J13</f>
        <v>2295</v>
      </c>
    </row>
    <row r="14" spans="1:12" ht="18" x14ac:dyDescent="0.35">
      <c r="A14" s="2">
        <v>13</v>
      </c>
      <c r="B14" s="1" t="s">
        <v>30</v>
      </c>
      <c r="C14" s="4" t="s">
        <v>6</v>
      </c>
      <c r="D14" s="4">
        <v>350</v>
      </c>
      <c r="E14" s="4">
        <v>2</v>
      </c>
      <c r="F14" s="4">
        <f t="shared" si="0"/>
        <v>700</v>
      </c>
      <c r="H14" s="1" t="s">
        <v>21</v>
      </c>
      <c r="I14" s="4" t="s">
        <v>5</v>
      </c>
      <c r="J14" s="4">
        <v>100</v>
      </c>
      <c r="K14" s="4">
        <v>0.12</v>
      </c>
      <c r="L14" s="4">
        <f>K14*J14</f>
        <v>12</v>
      </c>
    </row>
    <row r="15" spans="1:12" ht="18" x14ac:dyDescent="0.35">
      <c r="A15" s="2">
        <v>14</v>
      </c>
      <c r="B15" s="1" t="s">
        <v>24</v>
      </c>
      <c r="C15" s="4" t="s">
        <v>5</v>
      </c>
      <c r="D15" s="4">
        <v>34</v>
      </c>
      <c r="E15" s="4">
        <v>0.9</v>
      </c>
      <c r="F15" s="4">
        <f t="shared" si="0"/>
        <v>30.6</v>
      </c>
    </row>
    <row r="16" spans="1:12" ht="18" x14ac:dyDescent="0.35">
      <c r="A16" s="2">
        <v>15</v>
      </c>
      <c r="B16" s="1" t="s">
        <v>27</v>
      </c>
      <c r="C16" s="4" t="s">
        <v>5</v>
      </c>
      <c r="D16" s="4">
        <v>6</v>
      </c>
      <c r="E16" s="4">
        <v>3.25</v>
      </c>
      <c r="F16" s="4">
        <f t="shared" si="0"/>
        <v>19.5</v>
      </c>
    </row>
    <row r="17" spans="1:6" ht="18" x14ac:dyDescent="0.35">
      <c r="A17" s="2">
        <v>16</v>
      </c>
      <c r="B17" s="1" t="s">
        <v>25</v>
      </c>
      <c r="C17" s="4" t="s">
        <v>5</v>
      </c>
      <c r="D17" s="4">
        <v>1</v>
      </c>
      <c r="E17" s="4">
        <v>25</v>
      </c>
      <c r="F17" s="4">
        <f t="shared" si="0"/>
        <v>25</v>
      </c>
    </row>
    <row r="18" spans="1:6" ht="18" x14ac:dyDescent="0.35">
      <c r="A18" s="2">
        <v>17</v>
      </c>
      <c r="B18" s="1" t="s">
        <v>26</v>
      </c>
      <c r="C18" s="4" t="s">
        <v>7</v>
      </c>
      <c r="D18" s="4">
        <v>10</v>
      </c>
      <c r="E18" s="4">
        <v>2.84</v>
      </c>
      <c r="F18" s="4">
        <f t="shared" si="0"/>
        <v>28.4</v>
      </c>
    </row>
    <row r="19" spans="1:6" ht="18" x14ac:dyDescent="0.35">
      <c r="A19" s="2">
        <v>18</v>
      </c>
      <c r="B19" s="1" t="s">
        <v>17</v>
      </c>
      <c r="C19" s="4" t="s">
        <v>5</v>
      </c>
      <c r="D19" s="4">
        <v>4</v>
      </c>
      <c r="E19" s="4">
        <v>1.51</v>
      </c>
      <c r="F19" s="4">
        <f t="shared" si="0"/>
        <v>6.04</v>
      </c>
    </row>
    <row r="20" spans="1:6" ht="18" x14ac:dyDescent="0.35">
      <c r="A20" s="2">
        <v>19</v>
      </c>
      <c r="B20" s="1" t="s">
        <v>34</v>
      </c>
      <c r="C20" s="4" t="s">
        <v>7</v>
      </c>
      <c r="D20" s="4">
        <v>1</v>
      </c>
      <c r="E20" s="4">
        <v>11.8</v>
      </c>
      <c r="F20" s="4">
        <f t="shared" ref="F20:F25" si="1">E20*D20</f>
        <v>11.8</v>
      </c>
    </row>
    <row r="21" spans="1:6" ht="18" x14ac:dyDescent="0.35">
      <c r="A21" s="2">
        <v>20</v>
      </c>
      <c r="B21" s="1" t="s">
        <v>35</v>
      </c>
      <c r="C21" s="4" t="s">
        <v>36</v>
      </c>
      <c r="D21" s="4">
        <v>1</v>
      </c>
      <c r="E21" s="4">
        <v>5.9</v>
      </c>
      <c r="F21" s="4">
        <f t="shared" si="1"/>
        <v>5.9</v>
      </c>
    </row>
    <row r="22" spans="1:6" ht="18" x14ac:dyDescent="0.35">
      <c r="A22" s="2">
        <v>21</v>
      </c>
      <c r="B22" s="1" t="s">
        <v>33</v>
      </c>
      <c r="C22" s="4" t="s">
        <v>5</v>
      </c>
      <c r="D22" s="4">
        <v>4</v>
      </c>
      <c r="E22" s="4">
        <v>34</v>
      </c>
      <c r="F22" s="4">
        <f t="shared" si="1"/>
        <v>136</v>
      </c>
    </row>
    <row r="23" spans="1:6" ht="18" x14ac:dyDescent="0.35">
      <c r="A23" s="2">
        <v>22</v>
      </c>
      <c r="B23" s="1" t="s">
        <v>37</v>
      </c>
      <c r="C23" s="4" t="s">
        <v>5</v>
      </c>
      <c r="D23" s="4">
        <v>3</v>
      </c>
      <c r="E23" s="4">
        <v>1696.25</v>
      </c>
      <c r="F23" s="4">
        <f t="shared" si="1"/>
        <v>5088.75</v>
      </c>
    </row>
    <row r="24" spans="1:6" ht="29.4" x14ac:dyDescent="0.35">
      <c r="A24" s="2">
        <v>23</v>
      </c>
      <c r="B24" s="5" t="s">
        <v>38</v>
      </c>
      <c r="C24" s="4" t="s">
        <v>39</v>
      </c>
      <c r="D24" s="4">
        <v>3</v>
      </c>
      <c r="E24" s="4">
        <v>73.75</v>
      </c>
      <c r="F24" s="4">
        <f t="shared" si="1"/>
        <v>221.25</v>
      </c>
    </row>
    <row r="25" spans="1:6" ht="18" x14ac:dyDescent="0.35">
      <c r="A25" s="2">
        <v>24</v>
      </c>
      <c r="B25" s="1" t="s">
        <v>31</v>
      </c>
      <c r="C25" s="4" t="s">
        <v>5</v>
      </c>
      <c r="D25" s="4">
        <v>1</v>
      </c>
      <c r="E25" s="4">
        <v>21.25</v>
      </c>
      <c r="F25" s="4">
        <f t="shared" si="1"/>
        <v>21.25</v>
      </c>
    </row>
    <row r="26" spans="1:6" ht="18" x14ac:dyDescent="0.35">
      <c r="A26" s="6" t="s">
        <v>32</v>
      </c>
      <c r="B26" s="7"/>
      <c r="C26" s="7"/>
      <c r="D26" s="7"/>
      <c r="E26" s="8"/>
      <c r="F26" s="2">
        <f>SUM(F2:F25)</f>
        <v>65025.180000000008</v>
      </c>
    </row>
  </sheetData>
  <mergeCells count="1">
    <mergeCell ref="A26:E2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2026-03-05T11:55:55Z</dcterms:created>
  <dcterms:modified xsi:type="dcterms:W3CDTF">2026-03-06T15:26:20Z</dcterms:modified>
</cp:coreProperties>
</file>