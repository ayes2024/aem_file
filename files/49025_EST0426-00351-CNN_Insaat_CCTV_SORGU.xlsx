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a.rahimli\Downloads\"/>
    </mc:Choice>
  </mc:AlternateContent>
  <xr:revisionPtr revIDLastSave="0" documentId="8_{DCE9EFE4-076E-49EA-9E26-517CE525356C}" xr6:coauthVersionLast="47" xr6:coauthVersionMax="47" xr10:uidLastSave="{00000000-0000-0000-0000-000000000000}"/>
  <bookViews>
    <workbookView xWindow="-120" yWindow="-120" windowWidth="20730" windowHeight="11160" xr2:uid="{E8CF7FBA-4759-4131-B969-2833BB9E8EBB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" i="1" l="1"/>
  <c r="I17" i="1"/>
  <c r="K16" i="1"/>
  <c r="I16" i="1"/>
  <c r="K15" i="1"/>
  <c r="I15" i="1"/>
  <c r="K14" i="1"/>
  <c r="K13" i="1" s="1"/>
  <c r="I14" i="1"/>
  <c r="K12" i="1"/>
  <c r="I12" i="1"/>
  <c r="K11" i="1"/>
  <c r="I11" i="1"/>
  <c r="K10" i="1"/>
  <c r="I10" i="1"/>
  <c r="K9" i="1"/>
  <c r="I9" i="1"/>
  <c r="K8" i="1"/>
  <c r="I8" i="1"/>
  <c r="K7" i="1"/>
  <c r="I7" i="1"/>
  <c r="K6" i="1"/>
  <c r="I6" i="1"/>
  <c r="K5" i="1"/>
  <c r="I5" i="1"/>
  <c r="K4" i="1"/>
  <c r="I4" i="1"/>
  <c r="K3" i="1"/>
  <c r="I3" i="1"/>
  <c r="K2" i="1"/>
  <c r="K1" i="1" s="1"/>
  <c r="I2" i="1"/>
</calcChain>
</file>

<file path=xl/sharedStrings.xml><?xml version="1.0" encoding="utf-8"?>
<sst xmlns="http://schemas.openxmlformats.org/spreadsheetml/2006/main" count="65" uniqueCount="50">
  <si>
    <t>A.1</t>
  </si>
  <si>
    <t>CCTV</t>
  </si>
  <si>
    <t>A.1.1</t>
  </si>
  <si>
    <t>IP Bullet Network Camera Outdoor 1/2.8" CMOS, ICR, 3840x2160:20fps,Ultra 265/H.265/H.264/MJPEG, Double stream, DC12V &amp; PoE,Fixed lens 2.8mm,4mm, IR range: up to 50m. , 3-axis EasyStar: 0.005 Lux min. İllumination IP67</t>
  </si>
  <si>
    <t>ea</t>
  </si>
  <si>
    <t>A.1.2</t>
  </si>
  <si>
    <t>IP Bullet Network Camera Outdoor 4MP ColorHunter Wise-ISP Fixed Warm Light Bullet Camera, 1/1.8" CMOS, 2688 × 1520@25/20 fps; Ultra 265, H.265, H.264, MJPEG, ColorHunter with Wise- ISP technology, deeply optimizing color, detail, and smear effects in extremely low-light scenes, White light, up to 30 m warm light distance, IP67</t>
  </si>
  <si>
    <t>A.1.3</t>
  </si>
  <si>
    <t>IP PTZ CAM outdoor</t>
  </si>
  <si>
    <t>A.1.4</t>
  </si>
  <si>
    <t>IP Network Camera Indoor 4 mp</t>
  </si>
  <si>
    <t>A.1.5</t>
  </si>
  <si>
    <t>Nvr 64 channel</t>
  </si>
  <si>
    <t>A.1.6</t>
  </si>
  <si>
    <t>HDD WD PURPLE 8TB (30 days)</t>
  </si>
  <si>
    <t>A.1.7</t>
  </si>
  <si>
    <t>Wall rack 22U 600*600*1164mm</t>
  </si>
  <si>
    <t>A.1.8</t>
  </si>
  <si>
    <t>24 port SWITCH FULL GIGABIT</t>
  </si>
  <si>
    <t>A.1.9</t>
  </si>
  <si>
    <t>16 port SWITCH FULL GIGABIT</t>
  </si>
  <si>
    <t>A.1.10</t>
  </si>
  <si>
    <t>Unmanaged PoE switch with 8*10/100M PoE + 2*10/100M Upiink ports.</t>
  </si>
  <si>
    <t>A.1.11</t>
  </si>
  <si>
    <t>Unmanaged PoE switch with 24*10/100M RJ45 ports.</t>
  </si>
  <si>
    <t>A.2</t>
  </si>
  <si>
    <t>Access Control System</t>
  </si>
  <si>
    <t>A.2.1</t>
  </si>
  <si>
    <t>The Latest AI Facial Recognition for Door Access.Face: 10K.Transactions:200000. Verification time:Face: &lt;2s</t>
  </si>
  <si>
    <t>A.2.2</t>
  </si>
  <si>
    <t>Server program for configuration, management, and reporting in the access control system</t>
  </si>
  <si>
    <t>A.2.3</t>
  </si>
  <si>
    <t>Client program for managing and monitoring users, as well as receiving reports</t>
  </si>
  <si>
    <t>A.2.4</t>
  </si>
  <si>
    <t>2-door access controller</t>
  </si>
  <si>
    <t>TOTAL Amount</t>
  </si>
  <si>
    <t>HIKVISION - DS-2CD1047G2H-LIUF/SL (2.8mm) 4MP IR30m/LED30m ColorVu with Smart Hybrid Light Fixed Bullet Network Camera</t>
  </si>
  <si>
    <t>HIKVISION - DS-2SE3C404MWG-E/14 (2.8mm) 4MP TandemVu 4MP+4MP 4X POE PTZ Network Camera</t>
  </si>
  <si>
    <t>HIKVISION - DS80HKVS-VX1 (8TB/5400RPM)</t>
  </si>
  <si>
    <t>TP-Link - LS1024G (24-Port Gigabit Desktop/Rackmount Switch)</t>
  </si>
  <si>
    <t>TP-Link - LS1016G (16-Port Gigabit Desktop/Rackmount Switch)</t>
  </si>
  <si>
    <t>TP-Link - TL-SL1311P ( 8-Port 10/100Mbps + 3-Port Gigabit Desktop Switch with 8-Port PoE+ )</t>
  </si>
  <si>
    <t>TP-Link - TL-SL1226P ( 24-Port 10/100Mbps + 2-Port Gigabit Unmanaged PoE+ Switch )</t>
  </si>
  <si>
    <t>Hikvision DS-K1T673DWX</t>
  </si>
  <si>
    <t>HikCentral Professional</t>
  </si>
  <si>
    <t>Hikvision DS-K2602</t>
  </si>
  <si>
    <t>HikCentral Professional Client included</t>
  </si>
  <si>
    <t>HIKVISION - DS-2CD2T87G3-LIS2UY/SL (2.8mm) 8MP IR60m Smart Hybrid Light with ColorVu Fixed Bullet Network Camera</t>
  </si>
  <si>
    <t>HIKVISION - DS-2CD2143G2-LI (2.8mm) 4 MP IR30m Acusense Smart Hybrid Light Fixed Dome Network Camera</t>
  </si>
  <si>
    <t>HIKVISION - DS-9664NI-M8 (64-ch/8 HDD) 2U 4K NVR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</si>
</sst>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9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2"/>
      <name val="helvetica"/>
    </font>
    <font>
      <b/>
      <sz val="12"/>
      <color theme="1"/>
      <name val="helvetica"/>
    </font>
    <font>
      <sz val="12"/>
      <color theme="1"/>
      <name val="helvetica"/>
    </font>
    <font>
      <sz val="12"/>
      <name val="helvetica"/>
    </font>
    <font>
      <sz val="12"/>
      <name val="helvetica"/>
      <family val="2"/>
    </font>
    <font>
      <b/>
      <sz val="12"/>
      <color theme="4" tint="-0.499984740745262"/>
      <name val="helvetica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164" fontId="2" fillId="3" borderId="2" xfId="1" applyFont="1" applyFill="1" applyBorder="1" applyAlignment="1">
      <alignment horizontal="center" vertical="center"/>
    </xf>
    <xf numFmtId="164" fontId="5" fillId="3" borderId="2" xfId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4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164" fontId="5" fillId="0" borderId="2" xfId="1" applyFont="1" applyBorder="1" applyAlignment="1">
      <alignment horizontal="center" vertical="center"/>
    </xf>
    <xf numFmtId="164" fontId="5" fillId="0" borderId="2" xfId="1" applyFont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164" fontId="5" fillId="0" borderId="2" xfId="1" applyFont="1" applyFill="1" applyBorder="1" applyAlignment="1">
      <alignment vertical="center"/>
    </xf>
    <xf numFmtId="0" fontId="5" fillId="3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164" fontId="7" fillId="2" borderId="4" xfId="1" applyFont="1" applyFill="1" applyBorder="1" applyAlignment="1">
      <alignment horizontal="center" vertical="center"/>
    </xf>
    <xf numFmtId="164" fontId="4" fillId="2" borderId="4" xfId="1" applyFont="1" applyFill="1" applyBorder="1" applyAlignment="1">
      <alignment vertical="center"/>
    </xf>
    <xf numFmtId="164" fontId="5" fillId="3" borderId="0" xfId="1" applyFont="1" applyFill="1" applyBorder="1" applyAlignment="1">
      <alignment vertical="center"/>
    </xf>
    <xf numFmtId="164" fontId="5" fillId="0" borderId="0" xfId="1" applyFont="1" applyBorder="1" applyAlignment="1">
      <alignment vertical="center"/>
    </xf>
    <xf numFmtId="164" fontId="5" fillId="0" borderId="0" xfId="1" applyFont="1" applyFill="1" applyBorder="1" applyAlignment="1">
      <alignment vertical="center"/>
    </xf>
    <xf numFmtId="164" fontId="4" fillId="2" borderId="0" xfId="1" applyFont="1" applyFill="1" applyBorder="1" applyAlignment="1">
      <alignment vertical="center"/>
    </xf>
    <xf numFmtId="164" fontId="5" fillId="0" borderId="0" xfId="1" applyFont="1" applyBorder="1" applyAlignment="1">
      <alignment vertical="center" wrapText="1"/>
    </xf>
  </cellXfs>
  <cellStyles count="3">
    <cellStyle name="Comma" xfId="1" builtinId="3"/>
    <cellStyle name="Normal" xfId="0" builtinId="0"/>
    <cellStyle name="Normal 2 2" xfId="2" xr:uid="{544C3ED7-EB0C-4D86-9ECE-B6D7E3B779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lviyye/Desktop/05.02.2026/EST0426-00351-%20CNN%20&#304;n&#351;aat%20CCT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 Breakdown"/>
    </sheetNames>
    <sheetDataSet>
      <sheetData sheetId="0">
        <row r="8">
          <cell r="C8" t="str">
            <v>A.1.1</v>
          </cell>
        </row>
        <row r="9">
          <cell r="C9" t="str">
            <v>A.1.2</v>
          </cell>
        </row>
        <row r="10">
          <cell r="C10" t="str">
            <v>A.1.3</v>
          </cell>
        </row>
        <row r="11">
          <cell r="C11" t="str">
            <v>A.1.4</v>
          </cell>
        </row>
        <row r="12">
          <cell r="C12" t="str">
            <v>A.1.5</v>
          </cell>
        </row>
        <row r="13">
          <cell r="C13" t="str">
            <v>A.1.6</v>
          </cell>
        </row>
        <row r="14">
          <cell r="C14" t="str">
            <v>A.1.7</v>
          </cell>
        </row>
        <row r="15">
          <cell r="C15" t="str">
            <v>A.1.8</v>
          </cell>
        </row>
        <row r="16">
          <cell r="C16" t="str">
            <v>A.1.9</v>
          </cell>
        </row>
        <row r="17">
          <cell r="C17" t="str">
            <v>A.1.10</v>
          </cell>
        </row>
        <row r="18">
          <cell r="C18" t="str">
            <v>A.1.11</v>
          </cell>
        </row>
        <row r="37">
          <cell r="C37" t="str">
            <v>A.2.1</v>
          </cell>
        </row>
        <row r="38">
          <cell r="C38" t="str">
            <v>A.2.2</v>
          </cell>
        </row>
        <row r="39">
          <cell r="C39" t="str">
            <v>A.2.3</v>
          </cell>
        </row>
        <row r="40">
          <cell r="C40" t="str">
            <v>A.2.4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8580-A2C8-433A-A673-41318323B3A8}">
  <dimension ref="C1:N18"/>
  <sheetViews>
    <sheetView tabSelected="1" topLeftCell="F4" zoomScale="90" zoomScaleNormal="90" workbookViewId="0">
      <selection activeCell="N7" sqref="N7"/>
    </sheetView>
  </sheetViews>
  <sheetFormatPr defaultRowHeight="15" outlineLevelRow="1" outlineLevelCol="1" x14ac:dyDescent="0.25"/>
  <cols>
    <col min="1" max="2" width="4.28515625" customWidth="1"/>
    <col min="3" max="3" width="9.5703125" customWidth="1"/>
    <col min="4" max="4" width="9.7109375" customWidth="1"/>
    <col min="5" max="5" width="11.28515625" customWidth="1"/>
    <col min="6" max="6" width="107.140625" customWidth="1"/>
    <col min="7" max="7" width="29.140625" hidden="1" customWidth="1" outlineLevel="1"/>
    <col min="8" max="8" width="55.7109375" hidden="1" customWidth="1" outlineLevel="1"/>
    <col min="9" max="9" width="10.28515625" style="1" hidden="1" customWidth="1" collapsed="1"/>
    <col min="10" max="10" width="9.5703125" customWidth="1"/>
    <col min="11" max="11" width="15.28515625" hidden="1" customWidth="1"/>
    <col min="12" max="12" width="13" customWidth="1"/>
    <col min="13" max="13" width="118" customWidth="1"/>
    <col min="14" max="14" width="13.5703125" customWidth="1"/>
  </cols>
  <sheetData>
    <row r="1" spans="3:14" s="9" customFormat="1" ht="18.75" customHeight="1" x14ac:dyDescent="0.25">
      <c r="C1" s="3" t="s">
        <v>0</v>
      </c>
      <c r="D1" s="4"/>
      <c r="E1" s="4" t="s">
        <v>1</v>
      </c>
      <c r="F1" s="4"/>
      <c r="G1" s="5"/>
      <c r="H1" s="5"/>
      <c r="I1" s="6"/>
      <c r="J1" s="6"/>
      <c r="K1" s="7" t="e">
        <f>SUM(K2:K12)</f>
        <v>#REF!</v>
      </c>
      <c r="L1" s="8"/>
      <c r="M1" s="26"/>
      <c r="N1" s="26"/>
    </row>
    <row r="2" spans="3:14" s="9" customFormat="1" ht="52.9" customHeight="1" outlineLevel="1" x14ac:dyDescent="0.25">
      <c r="C2" s="10" t="s">
        <v>2</v>
      </c>
      <c r="D2" s="11"/>
      <c r="E2" s="11"/>
      <c r="F2" s="12" t="s">
        <v>3</v>
      </c>
      <c r="G2" s="11"/>
      <c r="H2" s="13"/>
      <c r="I2" s="14" t="e">
        <f>+VLOOKUP(C2,#REF!,13,0)</f>
        <v>#REF!</v>
      </c>
      <c r="J2" s="14" t="s">
        <v>4</v>
      </c>
      <c r="K2" s="15" t="e">
        <f>+SUMIF(#REF!,'[1]Price Breakdown'!C8,#REF!)</f>
        <v>#REF!</v>
      </c>
      <c r="L2" s="16">
        <v>44</v>
      </c>
      <c r="M2" s="30" t="s">
        <v>47</v>
      </c>
      <c r="N2" s="30">
        <v>367.06</v>
      </c>
    </row>
    <row r="3" spans="3:14" s="9" customFormat="1" ht="69" customHeight="1" outlineLevel="1" x14ac:dyDescent="0.25">
      <c r="C3" s="10" t="s">
        <v>5</v>
      </c>
      <c r="D3" s="11"/>
      <c r="E3" s="11"/>
      <c r="F3" s="12" t="s">
        <v>6</v>
      </c>
      <c r="G3" s="11"/>
      <c r="H3" s="13"/>
      <c r="I3" s="14" t="e">
        <f>+VLOOKUP(C3,#REF!,13,0)</f>
        <v>#REF!</v>
      </c>
      <c r="J3" s="14" t="s">
        <v>4</v>
      </c>
      <c r="K3" s="15" t="e">
        <f>+SUMIF(#REF!,'[1]Price Breakdown'!C9,#REF!)</f>
        <v>#REF!</v>
      </c>
      <c r="L3" s="16">
        <v>22</v>
      </c>
      <c r="M3" s="30" t="s">
        <v>36</v>
      </c>
      <c r="N3" s="27">
        <v>135.18</v>
      </c>
    </row>
    <row r="4" spans="3:14" s="9" customFormat="1" ht="19.149999999999999" customHeight="1" outlineLevel="1" x14ac:dyDescent="0.25">
      <c r="C4" s="10" t="s">
        <v>7</v>
      </c>
      <c r="D4" s="11"/>
      <c r="E4" s="11"/>
      <c r="F4" s="12" t="s">
        <v>8</v>
      </c>
      <c r="G4" s="11"/>
      <c r="H4" s="13"/>
      <c r="I4" s="14" t="e">
        <f>+VLOOKUP(C4,#REF!,13,0)</f>
        <v>#REF!</v>
      </c>
      <c r="J4" s="14" t="s">
        <v>4</v>
      </c>
      <c r="K4" s="15" t="e">
        <f>+SUMIF(#REF!,'[1]Price Breakdown'!C10,#REF!)</f>
        <v>#REF!</v>
      </c>
      <c r="L4" s="16">
        <v>2</v>
      </c>
      <c r="M4" s="27" t="s">
        <v>37</v>
      </c>
      <c r="N4" s="27">
        <v>291.47000000000003</v>
      </c>
    </row>
    <row r="5" spans="3:14" s="9" customFormat="1" ht="19.149999999999999" customHeight="1" outlineLevel="1" x14ac:dyDescent="0.25">
      <c r="C5" s="10" t="s">
        <v>9</v>
      </c>
      <c r="D5" s="11"/>
      <c r="E5" s="11"/>
      <c r="F5" s="12" t="s">
        <v>10</v>
      </c>
      <c r="G5" s="11"/>
      <c r="H5" s="13"/>
      <c r="I5" s="14" t="e">
        <f>+VLOOKUP(C5,#REF!,13,0)</f>
        <v>#REF!</v>
      </c>
      <c r="J5" s="14" t="s">
        <v>4</v>
      </c>
      <c r="K5" s="15" t="e">
        <f>+SUMIF(#REF!,'[1]Price Breakdown'!C11,#REF!)</f>
        <v>#REF!</v>
      </c>
      <c r="L5" s="16">
        <v>17</v>
      </c>
      <c r="M5" s="27" t="s">
        <v>48</v>
      </c>
      <c r="N5" s="27">
        <v>131.11000000000001</v>
      </c>
    </row>
    <row r="6" spans="3:14" s="9" customFormat="1" ht="19.149999999999999" customHeight="1" outlineLevel="1" x14ac:dyDescent="0.25">
      <c r="C6" s="10" t="s">
        <v>11</v>
      </c>
      <c r="D6" s="11"/>
      <c r="E6" s="11"/>
      <c r="F6" s="12" t="s">
        <v>12</v>
      </c>
      <c r="G6" s="11"/>
      <c r="H6" s="13"/>
      <c r="I6" s="14" t="e">
        <f>+VLOOKUP(C6,#REF!,13,0)</f>
        <v>#REF!</v>
      </c>
      <c r="J6" s="14" t="s">
        <v>4</v>
      </c>
      <c r="K6" s="15" t="e">
        <f>+SUMIF(#REF!,'[1]Price Breakdown'!C12,#REF!)</f>
        <v>#REF!</v>
      </c>
      <c r="L6" s="16">
        <v>2</v>
      </c>
      <c r="M6" s="27" t="s">
        <v>49</v>
      </c>
      <c r="N6" s="27">
        <v>3197.2</v>
      </c>
    </row>
    <row r="7" spans="3:14" s="9" customFormat="1" ht="19.149999999999999" customHeight="1" outlineLevel="1" x14ac:dyDescent="0.25">
      <c r="C7" s="10" t="s">
        <v>13</v>
      </c>
      <c r="D7" s="11"/>
      <c r="E7" s="11"/>
      <c r="F7" s="12" t="s">
        <v>14</v>
      </c>
      <c r="G7" s="11"/>
      <c r="H7" s="13"/>
      <c r="I7" s="14" t="e">
        <f>+VLOOKUP(C7,#REF!,13,0)</f>
        <v>#REF!</v>
      </c>
      <c r="J7" s="14" t="s">
        <v>4</v>
      </c>
      <c r="K7" s="15" t="e">
        <f>+SUMIF(#REF!,'[1]Price Breakdown'!C13,#REF!)</f>
        <v>#REF!</v>
      </c>
      <c r="L7" s="16">
        <v>12</v>
      </c>
      <c r="M7" s="27" t="s">
        <v>38</v>
      </c>
      <c r="N7" s="27">
        <v>828</v>
      </c>
    </row>
    <row r="8" spans="3:14" s="9" customFormat="1" outlineLevel="1" x14ac:dyDescent="0.25">
      <c r="C8" s="10" t="s">
        <v>15</v>
      </c>
      <c r="D8" s="11"/>
      <c r="E8" s="11"/>
      <c r="F8" s="12" t="s">
        <v>16</v>
      </c>
      <c r="G8" s="11"/>
      <c r="H8" s="13"/>
      <c r="I8" s="14" t="e">
        <f>+VLOOKUP(C8,#REF!,13,0)</f>
        <v>#REF!</v>
      </c>
      <c r="J8" s="14" t="s">
        <v>4</v>
      </c>
      <c r="K8" s="15" t="e">
        <f>+SUMIF(#REF!,'[1]Price Breakdown'!C14,#REF!)</f>
        <v>#REF!</v>
      </c>
      <c r="L8" s="16">
        <v>1</v>
      </c>
      <c r="M8" s="30" t="s">
        <v>16</v>
      </c>
      <c r="N8" s="27">
        <v>362.5</v>
      </c>
    </row>
    <row r="9" spans="3:14" s="9" customFormat="1" outlineLevel="1" x14ac:dyDescent="0.25">
      <c r="C9" s="10" t="s">
        <v>17</v>
      </c>
      <c r="D9" s="11"/>
      <c r="E9" s="11"/>
      <c r="F9" s="17" t="s">
        <v>18</v>
      </c>
      <c r="G9" s="11"/>
      <c r="H9" s="13"/>
      <c r="I9" s="14" t="e">
        <f>+VLOOKUP(C9,#REF!,13,0)</f>
        <v>#REF!</v>
      </c>
      <c r="J9" s="14" t="s">
        <v>4</v>
      </c>
      <c r="K9" s="15" t="e">
        <f>+SUMIF(#REF!,'[1]Price Breakdown'!C15,#REF!)</f>
        <v>#REF!</v>
      </c>
      <c r="L9" s="16">
        <v>4</v>
      </c>
      <c r="M9" s="27" t="s">
        <v>39</v>
      </c>
      <c r="N9" s="27">
        <v>119.01</v>
      </c>
    </row>
    <row r="10" spans="3:14" s="9" customFormat="1" outlineLevel="1" x14ac:dyDescent="0.25">
      <c r="C10" s="10" t="s">
        <v>19</v>
      </c>
      <c r="D10" s="11"/>
      <c r="E10" s="11"/>
      <c r="F10" s="17" t="s">
        <v>20</v>
      </c>
      <c r="G10" s="11"/>
      <c r="H10" s="13"/>
      <c r="I10" s="14" t="e">
        <f>+VLOOKUP(C10,#REF!,13,0)</f>
        <v>#REF!</v>
      </c>
      <c r="J10" s="14" t="s">
        <v>4</v>
      </c>
      <c r="K10" s="15" t="e">
        <f>+SUMIF(#REF!,'[1]Price Breakdown'!C16,#REF!)</f>
        <v>#REF!</v>
      </c>
      <c r="L10" s="16">
        <v>1</v>
      </c>
      <c r="M10" s="27" t="s">
        <v>40</v>
      </c>
      <c r="N10" s="27">
        <v>87.5</v>
      </c>
    </row>
    <row r="11" spans="3:14" s="9" customFormat="1" outlineLevel="1" x14ac:dyDescent="0.25">
      <c r="C11" s="10" t="s">
        <v>21</v>
      </c>
      <c r="D11" s="11"/>
      <c r="E11" s="11"/>
      <c r="F11" s="17" t="s">
        <v>22</v>
      </c>
      <c r="G11" s="11"/>
      <c r="H11" s="13"/>
      <c r="I11" s="14" t="e">
        <f>+VLOOKUP(C11,#REF!,13,0)</f>
        <v>#REF!</v>
      </c>
      <c r="J11" s="14" t="s">
        <v>4</v>
      </c>
      <c r="K11" s="15" t="e">
        <f>+SUMIF(#REF!,'[1]Price Breakdown'!C17,#REF!)</f>
        <v>#REF!</v>
      </c>
      <c r="L11" s="16">
        <v>5</v>
      </c>
      <c r="M11" s="27" t="s">
        <v>41</v>
      </c>
      <c r="N11" s="27">
        <v>73.5</v>
      </c>
    </row>
    <row r="12" spans="3:14" s="9" customFormat="1" outlineLevel="1" x14ac:dyDescent="0.25">
      <c r="C12" s="10" t="s">
        <v>23</v>
      </c>
      <c r="D12" s="11"/>
      <c r="E12" s="11"/>
      <c r="F12" s="17" t="s">
        <v>24</v>
      </c>
      <c r="G12" s="11"/>
      <c r="H12" s="13"/>
      <c r="I12" s="14" t="e">
        <f>+VLOOKUP(C12,#REF!,13,0)</f>
        <v>#REF!</v>
      </c>
      <c r="J12" s="14" t="s">
        <v>4</v>
      </c>
      <c r="K12" s="15" t="e">
        <f>+SUMIF(#REF!,'[1]Price Breakdown'!C18,#REF!)</f>
        <v>#REF!</v>
      </c>
      <c r="L12" s="16">
        <v>1</v>
      </c>
      <c r="M12" s="27" t="s">
        <v>42</v>
      </c>
      <c r="N12" s="27">
        <v>283.5</v>
      </c>
    </row>
    <row r="13" spans="3:14" s="9" customFormat="1" ht="15.75" x14ac:dyDescent="0.25">
      <c r="C13" s="3" t="s">
        <v>25</v>
      </c>
      <c r="D13" s="4"/>
      <c r="E13" s="4" t="s">
        <v>26</v>
      </c>
      <c r="F13" s="4"/>
      <c r="G13" s="5"/>
      <c r="H13" s="19"/>
      <c r="I13" s="6"/>
      <c r="J13" s="6"/>
      <c r="K13" s="7" t="e">
        <f>SUM(K14:K17)</f>
        <v>#REF!</v>
      </c>
      <c r="L13" s="8"/>
      <c r="M13" s="26"/>
      <c r="N13" s="26"/>
    </row>
    <row r="14" spans="3:14" s="9" customFormat="1" ht="30" outlineLevel="1" x14ac:dyDescent="0.25">
      <c r="C14" s="10" t="s">
        <v>27</v>
      </c>
      <c r="D14" s="11"/>
      <c r="E14" s="11"/>
      <c r="F14" s="12" t="s">
        <v>28</v>
      </c>
      <c r="G14" s="11"/>
      <c r="H14" s="13"/>
      <c r="I14" s="14" t="e">
        <f>+VLOOKUP(C14,#REF!,13,0)</f>
        <v>#REF!</v>
      </c>
      <c r="J14" s="14" t="s">
        <v>4</v>
      </c>
      <c r="K14" s="15" t="e">
        <f>+SUMIF(#REF!,'[1]Price Breakdown'!C37,#REF!)</f>
        <v>#REF!</v>
      </c>
      <c r="L14" s="18">
        <v>21</v>
      </c>
      <c r="M14" s="28" t="s">
        <v>43</v>
      </c>
      <c r="N14" s="28">
        <v>960</v>
      </c>
    </row>
    <row r="15" spans="3:14" s="9" customFormat="1" outlineLevel="1" x14ac:dyDescent="0.25">
      <c r="C15" s="10" t="s">
        <v>29</v>
      </c>
      <c r="D15" s="11"/>
      <c r="E15" s="11"/>
      <c r="F15" s="17" t="s">
        <v>30</v>
      </c>
      <c r="G15" s="11"/>
      <c r="H15" s="13"/>
      <c r="I15" s="14" t="e">
        <f>+VLOOKUP(C15,#REF!,13,0)</f>
        <v>#REF!</v>
      </c>
      <c r="J15" s="14" t="s">
        <v>4</v>
      </c>
      <c r="K15" s="15" t="e">
        <f>+SUMIF(#REF!,'[1]Price Breakdown'!C38,#REF!)</f>
        <v>#REF!</v>
      </c>
      <c r="L15" s="18">
        <v>1</v>
      </c>
      <c r="M15" s="28" t="s">
        <v>44</v>
      </c>
      <c r="N15" s="28">
        <v>1300</v>
      </c>
    </row>
    <row r="16" spans="3:14" s="9" customFormat="1" outlineLevel="1" x14ac:dyDescent="0.25">
      <c r="C16" s="10" t="s">
        <v>31</v>
      </c>
      <c r="D16" s="11"/>
      <c r="E16" s="11"/>
      <c r="F16" s="17" t="s">
        <v>32</v>
      </c>
      <c r="G16" s="11"/>
      <c r="H16" s="13"/>
      <c r="I16" s="14" t="e">
        <f>+VLOOKUP(C16,#REF!,13,0)</f>
        <v>#REF!</v>
      </c>
      <c r="J16" s="14" t="s">
        <v>4</v>
      </c>
      <c r="K16" s="15" t="e">
        <f>+SUMIF(#REF!,'[1]Price Breakdown'!C39,#REF!)</f>
        <v>#REF!</v>
      </c>
      <c r="L16" s="18">
        <v>1</v>
      </c>
      <c r="M16" s="28" t="s">
        <v>46</v>
      </c>
      <c r="N16" s="28"/>
    </row>
    <row r="17" spans="3:14" s="9" customFormat="1" outlineLevel="1" x14ac:dyDescent="0.25">
      <c r="C17" s="10" t="s">
        <v>33</v>
      </c>
      <c r="D17" s="11"/>
      <c r="E17" s="11"/>
      <c r="F17" s="17" t="s">
        <v>34</v>
      </c>
      <c r="G17" s="11"/>
      <c r="H17" s="13"/>
      <c r="I17" s="14" t="e">
        <f>+VLOOKUP(C17,#REF!,13,0)</f>
        <v>#REF!</v>
      </c>
      <c r="J17" s="14" t="s">
        <v>4</v>
      </c>
      <c r="K17" s="15" t="e">
        <f>+SUMIF(#REF!,'[1]Price Breakdown'!C40,#REF!)</f>
        <v>#REF!</v>
      </c>
      <c r="L17" s="18">
        <v>2</v>
      </c>
      <c r="M17" s="28" t="s">
        <v>45</v>
      </c>
      <c r="N17" s="28">
        <v>235</v>
      </c>
    </row>
    <row r="18" spans="3:14" s="2" customFormat="1" ht="16.5" thickBot="1" x14ac:dyDescent="0.3">
      <c r="C18" s="20"/>
      <c r="D18" s="21" t="s">
        <v>35</v>
      </c>
      <c r="E18" s="22"/>
      <c r="F18" s="21"/>
      <c r="G18" s="22"/>
      <c r="H18" s="22"/>
      <c r="I18" s="23"/>
      <c r="J18" s="23"/>
      <c r="K18" s="24"/>
      <c r="L18" s="25"/>
      <c r="M18" s="29"/>
      <c r="N18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Lala Mammadkhanova</dc:creator>
  <cp:lastModifiedBy>Sona Rahimli</cp:lastModifiedBy>
  <dcterms:created xsi:type="dcterms:W3CDTF">2026-05-13T05:22:13Z</dcterms:created>
  <dcterms:modified xsi:type="dcterms:W3CDTF">2026-05-15T07:01:27Z</dcterms:modified>
</cp:coreProperties>
</file>