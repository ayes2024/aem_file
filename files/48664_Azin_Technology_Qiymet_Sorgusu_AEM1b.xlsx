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lbadam.tamrazova\Downloads\"/>
    </mc:Choice>
  </mc:AlternateContent>
  <xr:revisionPtr revIDLastSave="0" documentId="8_{45DE632F-0559-4761-9492-3966495D4F5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Sheet1!$A$2:$H$13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G8" i="1"/>
  <c r="G6" i="1" l="1"/>
  <c r="G5" i="1"/>
  <c r="G4" i="1"/>
  <c r="G3" i="1"/>
  <c r="G9" i="1" l="1"/>
  <c r="G10" i="1" s="1"/>
  <c r="G13" i="1" s="1"/>
</calcChain>
</file>

<file path=xl/sharedStrings.xml><?xml version="1.0" encoding="utf-8"?>
<sst xmlns="http://schemas.openxmlformats.org/spreadsheetml/2006/main" count="32" uniqueCount="28">
  <si>
    <t>Əlavə Məlumatlar</t>
  </si>
  <si>
    <t>CƏM</t>
  </si>
  <si>
    <t>ƏDV 18 %</t>
  </si>
  <si>
    <t>ÇATDIRILMA</t>
  </si>
  <si>
    <t>DİGƏR</t>
  </si>
  <si>
    <t>YEKUN</t>
  </si>
  <si>
    <t>ədəd</t>
  </si>
  <si>
    <t xml:space="preserve">                                                  </t>
  </si>
  <si>
    <t>N</t>
  </si>
  <si>
    <t>Məhsul</t>
  </si>
  <si>
    <t>Təklif edilən məhsul</t>
  </si>
  <si>
    <t>Ölçü Vahidi</t>
  </si>
  <si>
    <t>Miqdar</t>
  </si>
  <si>
    <t>Qiymət</t>
  </si>
  <si>
    <t>Cəmi</t>
  </si>
  <si>
    <t>Stok sayı</t>
  </si>
  <si>
    <t xml:space="preserve">
Kabel typeC to typeC, USB 3.1, 1 metr </t>
  </si>
  <si>
    <t xml:space="preserve">Ötürücü VGA~HDMİ </t>
  </si>
  <si>
    <t xml:space="preserve">
Console kabel USB → RJ45 (USB‑Console)</t>
  </si>
  <si>
    <t>RJ-45 başlıqlar sadə, 50 ədədlik</t>
  </si>
  <si>
    <t>qutu</t>
  </si>
  <si>
    <t xml:space="preserve">
Ötürücü USB~typeC </t>
  </si>
  <si>
    <t>USB hub 11 in 1, DisplayPort, 10 Gbps sürətli USB C 3.2 Gen 2 port, İki 10 Gbps sürətli USB A 3.2 Gen 2 port, İki USB A 3.0 port, 100 W Power Delivery (enerji ötürməsi)</t>
  </si>
  <si>
    <t>MOBAKS MC-24 BLACK (Type-C to Type-C) 60W</t>
  </si>
  <si>
    <t>MOBAKS MC-28 WHITE (Type-C) 12W</t>
  </si>
  <si>
    <t>VOLTAM VH-40 VGA male to HDMI  female 1920 1080P</t>
  </si>
  <si>
    <t>DATALINK RJ45 - CAT6 CONNECTOR (GREEN)</t>
  </si>
  <si>
    <t>Console kabel USB → RJ45 (USB‑Console)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</si>
</sst>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-* #,##0.00\ [$₼-42C]_-;\-* #,##0.00\ [$₼-42C]_-;_-* &quot;-&quot;??\ [$₼-42C]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sz val="14"/>
      <name val="Times Roman"/>
    </font>
    <font>
      <b/>
      <sz val="14"/>
      <name val="Times Roman"/>
    </font>
    <font>
      <b/>
      <i/>
      <sz val="14"/>
      <name val="Times Roman"/>
    </font>
    <font>
      <b/>
      <i/>
      <sz val="14"/>
      <color theme="1"/>
      <name val="Calibri"/>
      <family val="2"/>
      <scheme val="minor"/>
    </font>
    <font>
      <b/>
      <i/>
      <sz val="14"/>
      <color theme="1"/>
      <name val="Times New Roman"/>
      <family val="1"/>
    </font>
    <font>
      <b/>
      <i/>
      <sz val="14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FF1CB"/>
        <bgColor indexed="64"/>
      </patternFill>
    </fill>
    <fill>
      <patternFill patternType="solid">
        <fgColor rgb="FFCCE9AD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2" fillId="0" borderId="0" xfId="0" applyFont="1"/>
    <xf numFmtId="165" fontId="0" fillId="0" borderId="0" xfId="0" applyNumberFormat="1"/>
    <xf numFmtId="0" fontId="3" fillId="0" borderId="1" xfId="0" applyFont="1" applyBorder="1"/>
    <xf numFmtId="165" fontId="3" fillId="0" borderId="1" xfId="0" applyNumberFormat="1" applyFont="1" applyBorder="1"/>
    <xf numFmtId="0" fontId="4" fillId="0" borderId="0" xfId="0" applyFont="1"/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65" fontId="0" fillId="0" borderId="1" xfId="1" applyNumberFormat="1" applyFont="1" applyBorder="1"/>
    <xf numFmtId="165" fontId="0" fillId="0" borderId="0" xfId="1" applyNumberFormat="1" applyFont="1"/>
    <xf numFmtId="0" fontId="9" fillId="0" borderId="1" xfId="0" applyFont="1" applyBorder="1"/>
    <xf numFmtId="0" fontId="3" fillId="0" borderId="2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8" fillId="0" borderId="1" xfId="0" applyFont="1" applyBorder="1"/>
    <xf numFmtId="0" fontId="2" fillId="0" borderId="1" xfId="0" applyFont="1" applyBorder="1"/>
    <xf numFmtId="0" fontId="3" fillId="0" borderId="2" xfId="0" applyFont="1" applyBorder="1"/>
    <xf numFmtId="0" fontId="11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/>
    </xf>
    <xf numFmtId="0" fontId="0" fillId="2" borderId="1" xfId="1" applyNumberFormat="1" applyFont="1" applyFill="1" applyBorder="1"/>
    <xf numFmtId="0" fontId="4" fillId="2" borderId="1" xfId="1" applyNumberFormat="1" applyFont="1" applyFill="1" applyBorder="1"/>
    <xf numFmtId="0" fontId="0" fillId="0" borderId="0" xfId="1" applyNumberFormat="1" applyFont="1"/>
    <xf numFmtId="0" fontId="14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165" fontId="13" fillId="3" borderId="1" xfId="0" applyNumberFormat="1" applyFont="1" applyFill="1" applyBorder="1" applyAlignment="1">
      <alignment horizontal="center"/>
    </xf>
    <xf numFmtId="165" fontId="13" fillId="3" borderId="1" xfId="1" applyNumberFormat="1" applyFont="1" applyFill="1" applyBorder="1" applyAlignment="1">
      <alignment horizontal="center"/>
    </xf>
    <xf numFmtId="0" fontId="13" fillId="3" borderId="1" xfId="1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12" fillId="3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165" fontId="0" fillId="4" borderId="1" xfId="1" applyNumberFormat="1" applyFont="1" applyFill="1" applyBorder="1"/>
    <xf numFmtId="165" fontId="4" fillId="5" borderId="1" xfId="1" applyNumberFormat="1" applyFont="1" applyFill="1" applyBorder="1"/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CCE9AD"/>
      <color rgb="FFDFF1CB"/>
      <color rgb="FFF6B4F1"/>
      <color rgb="FFBC8FDD"/>
      <color rgb="FFFBC1E6"/>
      <color rgb="FFFDEDFB"/>
      <color rgb="FFFDE7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5814060</xdr:colOff>
      <xdr:row>0</xdr:row>
      <xdr:rowOff>121920</xdr:rowOff>
    </xdr:from>
    <xdr:to>
      <xdr:col>4</xdr:col>
      <xdr:colOff>716280</xdr:colOff>
      <xdr:row>0</xdr:row>
      <xdr:rowOff>1706880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8C4C33-6EEE-4E57-8BBA-0BD683F0AFBD}"/>
            </a:ext>
          </a:extLst>
        </xdr:cNvPr>
        <xdr:cNvSpPr txBox="1"/>
      </xdr:nvSpPr>
      <xdr:spPr>
        <a:xfrm>
          <a:off x="6225540" y="121920"/>
          <a:ext cx="8686800" cy="1584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Adres: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Azerbaycan, Bakı, AZ1054, Binaqadi r-nu, H.Ağamalıyev kÜç. , 6</a:t>
          </a:r>
        </a:p>
        <a:p>
          <a:r>
            <a:rPr lang="en-US" sz="14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Telefon: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+994 55 248 68 86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+994 12 412 68 86</a:t>
          </a:r>
        </a:p>
        <a:p>
          <a:r>
            <a:rPr lang="en-US" sz="14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Email: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info@azintech.az</a:t>
          </a:r>
        </a:p>
        <a:p>
          <a:endParaRPr lang="en-US" sz="1100"/>
        </a:p>
      </xdr:txBody>
    </xdr:sp>
    <xdr:clientData/>
  </xdr:twoCellAnchor>
  <xdr:twoCellAnchor editAs="oneCell">
    <xdr:from>
      <xdr:col>0</xdr:col>
      <xdr:colOff>310245</xdr:colOff>
      <xdr:row>0</xdr:row>
      <xdr:rowOff>375983</xdr:rowOff>
    </xdr:from>
    <xdr:to>
      <xdr:col>1</xdr:col>
      <xdr:colOff>4637314</xdr:colOff>
      <xdr:row>0</xdr:row>
      <xdr:rowOff>1470864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6FE2CA-3876-42F4-A576-4CEA0B4C5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245" y="375983"/>
          <a:ext cx="4740726" cy="10948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="70" zoomScaleNormal="70" workbookViewId="0">
      <selection activeCell="F6" sqref="F6"/>
    </sheetView>
  </sheetViews>
  <sheetFormatPr defaultRowHeight="15"/>
  <cols>
    <col min="1" max="1" width="6" style="6" customWidth="1"/>
    <col min="2" max="2" width="113.42578125" style="2" customWidth="1"/>
    <col min="3" max="3" width="59.85546875" style="2" customWidth="1"/>
    <col min="4" max="4" width="11.7109375" style="2" customWidth="1"/>
    <col min="5" max="5" width="10.42578125" style="2" customWidth="1"/>
    <col min="6" max="6" width="15.5703125" style="3" customWidth="1"/>
    <col min="7" max="7" width="24.28515625" style="10" customWidth="1"/>
    <col min="8" max="8" width="15.85546875" style="22" customWidth="1"/>
    <col min="9" max="9" width="8.85546875" customWidth="1"/>
  </cols>
  <sheetData>
    <row r="1" spans="1:8" ht="138" customHeight="1">
      <c r="A1" s="39" t="s">
        <v>7</v>
      </c>
      <c r="B1" s="40"/>
      <c r="C1" s="40"/>
      <c r="D1" s="40"/>
      <c r="E1" s="40"/>
      <c r="F1" s="40"/>
      <c r="G1" s="41"/>
      <c r="H1" s="19"/>
    </row>
    <row r="2" spans="1:8" ht="22.9" customHeight="1">
      <c r="A2" s="25" t="s">
        <v>8</v>
      </c>
      <c r="B2" s="26" t="s">
        <v>9</v>
      </c>
      <c r="C2" s="27" t="s">
        <v>10</v>
      </c>
      <c r="D2" s="27" t="s">
        <v>11</v>
      </c>
      <c r="E2" s="26" t="s">
        <v>12</v>
      </c>
      <c r="F2" s="28" t="s">
        <v>13</v>
      </c>
      <c r="G2" s="29" t="s">
        <v>14</v>
      </c>
      <c r="H2" s="30" t="s">
        <v>15</v>
      </c>
    </row>
    <row r="3" spans="1:8" ht="38.25">
      <c r="A3" s="11">
        <v>1</v>
      </c>
      <c r="B3" s="23" t="s">
        <v>16</v>
      </c>
      <c r="C3" s="17" t="s">
        <v>23</v>
      </c>
      <c r="D3" s="12" t="s">
        <v>6</v>
      </c>
      <c r="E3" s="4">
        <v>1</v>
      </c>
      <c r="F3" s="5">
        <v>3</v>
      </c>
      <c r="G3" s="37">
        <f t="shared" ref="G3:G6" si="0">SUM(E3*F3)</f>
        <v>3</v>
      </c>
      <c r="H3" s="20"/>
    </row>
    <row r="4" spans="1:8" ht="19.5">
      <c r="A4" s="11">
        <v>2</v>
      </c>
      <c r="B4" s="23" t="s">
        <v>17</v>
      </c>
      <c r="C4" s="17" t="s">
        <v>25</v>
      </c>
      <c r="D4" s="12" t="s">
        <v>6</v>
      </c>
      <c r="E4" s="4">
        <v>1</v>
      </c>
      <c r="F4" s="5">
        <v>14.56</v>
      </c>
      <c r="G4" s="37">
        <f t="shared" si="0"/>
        <v>14.56</v>
      </c>
      <c r="H4" s="20"/>
    </row>
    <row r="5" spans="1:8" ht="38.25">
      <c r="A5" s="11">
        <v>3</v>
      </c>
      <c r="B5" s="23" t="s">
        <v>18</v>
      </c>
      <c r="C5" s="17" t="s">
        <v>27</v>
      </c>
      <c r="D5" s="12" t="s">
        <v>6</v>
      </c>
      <c r="E5" s="4">
        <v>2</v>
      </c>
      <c r="F5" s="5">
        <v>32</v>
      </c>
      <c r="G5" s="37">
        <f t="shared" si="0"/>
        <v>64</v>
      </c>
      <c r="H5" s="20"/>
    </row>
    <row r="6" spans="1:8" ht="19.5">
      <c r="A6" s="11">
        <v>4</v>
      </c>
      <c r="B6" s="23" t="s">
        <v>19</v>
      </c>
      <c r="C6" s="24" t="s">
        <v>26</v>
      </c>
      <c r="D6" s="12" t="s">
        <v>20</v>
      </c>
      <c r="E6" s="4">
        <v>3</v>
      </c>
      <c r="F6" s="5">
        <v>0.17</v>
      </c>
      <c r="G6" s="37">
        <f t="shared" si="0"/>
        <v>0.51</v>
      </c>
      <c r="H6" s="20"/>
    </row>
    <row r="7" spans="1:8" ht="38.25">
      <c r="A7" s="11">
        <v>5</v>
      </c>
      <c r="B7" s="23" t="s">
        <v>21</v>
      </c>
      <c r="C7" s="17" t="s">
        <v>24</v>
      </c>
      <c r="D7" s="12" t="s">
        <v>6</v>
      </c>
      <c r="E7" s="4">
        <v>1</v>
      </c>
      <c r="F7" s="5">
        <v>1.5</v>
      </c>
      <c r="G7" s="37">
        <f>SUM(E7*F7)</f>
        <v>1.5</v>
      </c>
      <c r="H7" s="20"/>
    </row>
    <row r="8" spans="1:8" ht="38.25">
      <c r="A8" s="11">
        <v>6</v>
      </c>
      <c r="B8" s="23" t="s">
        <v>22</v>
      </c>
      <c r="C8" s="17"/>
      <c r="D8" s="12" t="s">
        <v>6</v>
      </c>
      <c r="E8" s="4">
        <v>2</v>
      </c>
      <c r="F8" s="5"/>
      <c r="G8" s="37">
        <f>SUM(E8*F8)</f>
        <v>0</v>
      </c>
      <c r="H8" s="20"/>
    </row>
    <row r="9" spans="1:8" ht="25.15" customHeight="1">
      <c r="A9" s="31"/>
      <c r="B9" s="32" t="s">
        <v>0</v>
      </c>
      <c r="C9" s="33"/>
      <c r="D9" s="34"/>
      <c r="E9" s="7" t="s">
        <v>1</v>
      </c>
      <c r="F9" s="1"/>
      <c r="G9" s="37">
        <f>SUM(G3:G8)</f>
        <v>83.570000000000007</v>
      </c>
      <c r="H9" s="20"/>
    </row>
    <row r="10" spans="1:8" ht="25.15" customHeight="1">
      <c r="A10" s="13"/>
      <c r="B10" s="18"/>
      <c r="C10" s="14"/>
      <c r="D10" s="14"/>
      <c r="E10" s="7" t="s">
        <v>2</v>
      </c>
      <c r="F10" s="1"/>
      <c r="G10" s="9">
        <f>SUM(G9*0.18)</f>
        <v>15.0426</v>
      </c>
      <c r="H10" s="20"/>
    </row>
    <row r="11" spans="1:8" ht="25.15" customHeight="1">
      <c r="A11" s="13"/>
      <c r="B11" s="18"/>
      <c r="C11" s="14"/>
      <c r="D11" s="14"/>
      <c r="E11" s="7" t="s">
        <v>3</v>
      </c>
      <c r="F11" s="1"/>
      <c r="G11" s="9"/>
      <c r="H11" s="20"/>
    </row>
    <row r="12" spans="1:8" ht="25.15" customHeight="1">
      <c r="A12" s="31"/>
      <c r="B12" s="35"/>
      <c r="C12" s="36"/>
      <c r="D12" s="36"/>
      <c r="E12" s="7" t="s">
        <v>4</v>
      </c>
      <c r="F12" s="1"/>
      <c r="G12" s="9"/>
      <c r="H12" s="20"/>
    </row>
    <row r="13" spans="1:8" ht="25.15" customHeight="1">
      <c r="A13" s="15"/>
      <c r="B13" s="16"/>
      <c r="E13" s="8" t="s">
        <v>5</v>
      </c>
      <c r="F13" s="1"/>
      <c r="G13" s="38">
        <f>SUM(G9:G10)</f>
        <v>98.612600000000015</v>
      </c>
      <c r="H13" s="21"/>
    </row>
    <row r="14" spans="1:8" ht="25.15" customHeight="1">
      <c r="A14" s="15"/>
      <c r="B14" s="16"/>
    </row>
    <row r="15" spans="1:8" ht="25.15" customHeight="1"/>
    <row r="16" spans="1:8" ht="25.15" customHeight="1"/>
    <row r="17" ht="25.15" customHeight="1"/>
    <row r="18" ht="25.15" customHeight="1"/>
    <row r="19" ht="25.15" customHeight="1"/>
    <row r="20" ht="24" customHeight="1"/>
    <row r="21" ht="25.9" customHeight="1"/>
    <row r="22" ht="24.6" customHeight="1"/>
    <row r="23" ht="24" customHeight="1"/>
    <row r="24" ht="24" customHeight="1"/>
    <row r="25" ht="23.45" customHeight="1"/>
  </sheetData>
  <autoFilter ref="A2:H13" xr:uid="{00000000-0001-0000-0000-000000000000}"/>
  <mergeCells count="1">
    <mergeCell ref="A1:G1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AZINTECH</dc:creator>
  <cp:lastModifiedBy>Gulbadam Tamrazova</cp:lastModifiedBy>
  <dcterms:created xsi:type="dcterms:W3CDTF">2026-03-02T07:12:30Z</dcterms:created>
  <dcterms:modified xsi:type="dcterms:W3CDTF">2026-04-13T08:12:29Z</dcterms:modified>
</cp:coreProperties>
</file>