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lvina.cumayeva\Downloads\"/>
    </mc:Choice>
  </mc:AlternateContent>
  <xr:revisionPtr revIDLastSave="0" documentId="8_{D2828ACF-5627-47C8-AF42-6E8A3480F4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2" i="1"/>
  <c r="G13" i="1" l="1"/>
</calcChain>
</file>

<file path=xl/sharedStrings.xml><?xml version="1.0" encoding="utf-8"?>
<sst xmlns="http://schemas.openxmlformats.org/spreadsheetml/2006/main" count="37" uniqueCount="28">
  <si>
    <t xml:space="preserve">Analoq  Video naqil CCTV 4+1  1 Coax + 2 x 0,50 mm +2 x 0,22 mm </t>
  </si>
  <si>
    <t>metr</t>
  </si>
  <si>
    <t>Dairəvi tipli müşahidə kamera DS-2CE76H8T-ITMF, 2.8 mm lens HIKVISION</t>
  </si>
  <si>
    <t>ədəd</t>
  </si>
  <si>
    <t>Fan - RackPro FANWall   - AC110V</t>
  </si>
  <si>
    <t>LŞ Naqil Cat 6 FTP 23 AWG Legrand .ETK</t>
  </si>
  <si>
    <t>Perimetr üçün çöl tipli video müşahidə kamera (80-metrəlik) DS-2CD2T45FWD-I8/B, 4 mm lens, Hikvision</t>
  </si>
  <si>
    <t>RJ45 Coupling (mufta)</t>
  </si>
  <si>
    <t>Təhlükəsizlik kamerası -2 Mp 3X Starlight IR PTZ IP-Kamera Dahua DH-SD12203T-GN</t>
  </si>
  <si>
    <t>TP-Link Archer C50 AC1200 Wi-Fi Router</t>
  </si>
  <si>
    <t>Telefon, analoq tipli naqilsiz, masaüstü</t>
  </si>
  <si>
    <t>Video kabel üçün ucluq, BNC connector FEMALE</t>
  </si>
  <si>
    <t xml:space="preserve">Naqil - RJ-9  (4P4C) </t>
  </si>
  <si>
    <t>S/N</t>
  </si>
  <si>
    <t>ÖLÇÜ
VAHİDİ</t>
  </si>
  <si>
    <t>MİQDAR</t>
  </si>
  <si>
    <t>MƏHSUL</t>
  </si>
  <si>
    <t>TƏKLİF EDİLƏN MODEL</t>
  </si>
  <si>
    <t>QİYMƏT
(ƏDV-li)</t>
  </si>
  <si>
    <t>MƏBLƏĞ
(ƏDV-li)</t>
  </si>
  <si>
    <t>YEKUN</t>
  </si>
  <si>
    <t>DAHUA 4+1 - DH-PFM940I-RG59/4-AZ RG59U+4*0.22mm Cable</t>
  </si>
  <si>
    <t>HIKVISION - DS-2CE76K0T-LPFS (2.8mm) 5MP IR20m/LED20m 3K Smart Hybrid Light Audio Indoor Fixed Turret Camera</t>
  </si>
  <si>
    <t>VOLTAM CAT 6 FTP OUTDOOR HF Şəbəkə Kabeli 0.57 mm pure copper +1.0 HDPE +ground wire +Al foil +6.4mm PVC +PE jacket Fluke pass 500-METR</t>
  </si>
  <si>
    <t>HIKVISION - DS-2CD2T46G2-4I (2.8mm) 4MP IR80m AcuSense Fixed Bullet Network Camera</t>
  </si>
  <si>
    <t>HIKVISION - DS-2SE3C204MWG-4G/12 (2.8mm) TandemVu 2MP+2MP 4X 4G PTZ Network Camera</t>
  </si>
  <si>
    <t>TP-Link - ARCHER C50 ( AC1200 Dual Band Wi-Fi Router )</t>
  </si>
  <si>
    <t>VOLTAM BNC TO BNC CABLE JD12-AV007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</si>
</sst>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₼-82C]_-;\-* #,##0.00\ [$₼-82C]_-;_-* &quot;-&quot;??\ [$₼-82C]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B12" sqref="B12"/>
    </sheetView>
  </sheetViews>
  <sheetFormatPr defaultRowHeight="14.4" x14ac:dyDescent="0.3"/>
  <cols>
    <col min="1" max="1" width="4.21875" style="7" bestFit="1" customWidth="1"/>
    <col min="2" max="2" width="63.33203125" customWidth="1"/>
    <col min="3" max="3" width="8" bestFit="1" customWidth="1"/>
    <col min="4" max="4" width="9.33203125" customWidth="1"/>
    <col min="5" max="5" width="23.77734375" style="4" customWidth="1"/>
    <col min="6" max="6" width="9.5546875" bestFit="1" customWidth="1"/>
    <col min="7" max="7" width="16.77734375" bestFit="1" customWidth="1"/>
  </cols>
  <sheetData>
    <row r="1" spans="1:7" s="5" customFormat="1" ht="28.8" x14ac:dyDescent="0.3">
      <c r="A1" s="8" t="s">
        <v>13</v>
      </c>
      <c r="B1" s="8" t="s">
        <v>16</v>
      </c>
      <c r="C1" s="8" t="s">
        <v>15</v>
      </c>
      <c r="D1" s="9" t="s">
        <v>14</v>
      </c>
      <c r="E1" s="9" t="s">
        <v>17</v>
      </c>
      <c r="F1" s="9" t="s">
        <v>18</v>
      </c>
      <c r="G1" s="9" t="s">
        <v>19</v>
      </c>
    </row>
    <row r="2" spans="1:7" ht="43.2" x14ac:dyDescent="0.3">
      <c r="A2" s="6">
        <v>1</v>
      </c>
      <c r="B2" s="1" t="s">
        <v>0</v>
      </c>
      <c r="C2" s="2">
        <v>120</v>
      </c>
      <c r="D2" s="2" t="s">
        <v>1</v>
      </c>
      <c r="E2" s="12" t="s">
        <v>21</v>
      </c>
      <c r="F2" s="10">
        <v>0.68</v>
      </c>
      <c r="G2" s="10">
        <f>F2*C2</f>
        <v>81.600000000000009</v>
      </c>
    </row>
    <row r="3" spans="1:7" ht="72" x14ac:dyDescent="0.3">
      <c r="A3" s="6">
        <v>2</v>
      </c>
      <c r="B3" s="1" t="s">
        <v>2</v>
      </c>
      <c r="C3" s="2">
        <v>1</v>
      </c>
      <c r="D3" s="2" t="s">
        <v>3</v>
      </c>
      <c r="E3" s="12" t="s">
        <v>22</v>
      </c>
      <c r="F3" s="10">
        <v>48.28</v>
      </c>
      <c r="G3" s="10">
        <f t="shared" ref="G3:G12" si="0">F3*C3</f>
        <v>48.28</v>
      </c>
    </row>
    <row r="4" spans="1:7" x14ac:dyDescent="0.3">
      <c r="A4" s="6">
        <v>3</v>
      </c>
      <c r="B4" s="1" t="s">
        <v>4</v>
      </c>
      <c r="C4" s="2">
        <v>2</v>
      </c>
      <c r="D4" s="2" t="s">
        <v>3</v>
      </c>
      <c r="E4" s="2"/>
      <c r="F4" s="10"/>
      <c r="G4" s="10">
        <f t="shared" si="0"/>
        <v>0</v>
      </c>
    </row>
    <row r="5" spans="1:7" ht="100.8" x14ac:dyDescent="0.3">
      <c r="A5" s="6">
        <v>4</v>
      </c>
      <c r="B5" s="1" t="s">
        <v>5</v>
      </c>
      <c r="C5" s="2">
        <v>100</v>
      </c>
      <c r="D5" s="2" t="s">
        <v>1</v>
      </c>
      <c r="E5" s="12" t="s">
        <v>23</v>
      </c>
      <c r="F5" s="10">
        <v>1.19</v>
      </c>
      <c r="G5" s="10">
        <f t="shared" si="0"/>
        <v>119</v>
      </c>
    </row>
    <row r="6" spans="1:7" ht="57.6" x14ac:dyDescent="0.3">
      <c r="A6" s="6">
        <v>5</v>
      </c>
      <c r="B6" s="1" t="s">
        <v>6</v>
      </c>
      <c r="C6" s="2">
        <v>5</v>
      </c>
      <c r="D6" s="2" t="s">
        <v>3</v>
      </c>
      <c r="E6" s="12" t="s">
        <v>24</v>
      </c>
      <c r="F6" s="10">
        <v>234.18</v>
      </c>
      <c r="G6" s="10">
        <f t="shared" si="0"/>
        <v>1170.9000000000001</v>
      </c>
    </row>
    <row r="7" spans="1:7" x14ac:dyDescent="0.3">
      <c r="A7" s="6">
        <v>6</v>
      </c>
      <c r="B7" s="1" t="s">
        <v>7</v>
      </c>
      <c r="C7" s="2">
        <v>50</v>
      </c>
      <c r="D7" s="2" t="s">
        <v>3</v>
      </c>
      <c r="E7" s="2"/>
      <c r="F7" s="10"/>
      <c r="G7" s="10">
        <f t="shared" si="0"/>
        <v>0</v>
      </c>
    </row>
    <row r="8" spans="1:7" ht="72" x14ac:dyDescent="0.3">
      <c r="A8" s="6">
        <v>7</v>
      </c>
      <c r="B8" s="1" t="s">
        <v>8</v>
      </c>
      <c r="C8" s="2">
        <v>11</v>
      </c>
      <c r="D8" s="2" t="s">
        <v>3</v>
      </c>
      <c r="E8" s="12" t="s">
        <v>25</v>
      </c>
      <c r="F8" s="10">
        <v>392.46</v>
      </c>
      <c r="G8" s="10">
        <f t="shared" si="0"/>
        <v>4317.0599999999995</v>
      </c>
    </row>
    <row r="9" spans="1:7" ht="43.2" x14ac:dyDescent="0.3">
      <c r="A9" s="6">
        <v>8</v>
      </c>
      <c r="B9" s="1" t="s">
        <v>9</v>
      </c>
      <c r="C9" s="2">
        <v>2</v>
      </c>
      <c r="D9" s="2" t="s">
        <v>3</v>
      </c>
      <c r="E9" s="12" t="s">
        <v>26</v>
      </c>
      <c r="F9" s="10">
        <v>48.01</v>
      </c>
      <c r="G9" s="10">
        <f t="shared" si="0"/>
        <v>96.02</v>
      </c>
    </row>
    <row r="10" spans="1:7" x14ac:dyDescent="0.3">
      <c r="A10" s="6">
        <v>9</v>
      </c>
      <c r="B10" s="1" t="s">
        <v>10</v>
      </c>
      <c r="C10" s="2">
        <v>1</v>
      </c>
      <c r="D10" s="2" t="s">
        <v>3</v>
      </c>
      <c r="E10" s="2"/>
      <c r="F10" s="10"/>
      <c r="G10" s="10">
        <f t="shared" si="0"/>
        <v>0</v>
      </c>
    </row>
    <row r="11" spans="1:7" ht="28.8" x14ac:dyDescent="0.3">
      <c r="A11" s="6">
        <v>10</v>
      </c>
      <c r="B11" s="1" t="s">
        <v>11</v>
      </c>
      <c r="C11" s="2">
        <v>4</v>
      </c>
      <c r="D11" s="2" t="s">
        <v>3</v>
      </c>
      <c r="E11" s="12" t="s">
        <v>27</v>
      </c>
      <c r="F11" s="10">
        <v>1.36</v>
      </c>
      <c r="G11" s="10">
        <f t="shared" si="0"/>
        <v>5.44</v>
      </c>
    </row>
    <row r="12" spans="1:7" x14ac:dyDescent="0.3">
      <c r="A12" s="6">
        <v>11</v>
      </c>
      <c r="B12" s="3" t="s">
        <v>12</v>
      </c>
      <c r="C12" s="2">
        <v>10</v>
      </c>
      <c r="D12" s="2" t="s">
        <v>3</v>
      </c>
      <c r="E12" s="2"/>
      <c r="F12" s="10"/>
      <c r="G12" s="10">
        <f t="shared" si="0"/>
        <v>0</v>
      </c>
    </row>
    <row r="13" spans="1:7" ht="33.6" customHeight="1" x14ac:dyDescent="0.3">
      <c r="A13" s="11" t="s">
        <v>20</v>
      </c>
      <c r="B13" s="11"/>
      <c r="C13" s="11"/>
      <c r="D13" s="11"/>
      <c r="E13" s="11"/>
      <c r="F13" s="11"/>
      <c r="G13" s="13">
        <f>SUM(G2:G12)</f>
        <v>5838.3</v>
      </c>
    </row>
  </sheetData>
  <mergeCells count="1">
    <mergeCell ref="A13:F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Orxan Israfilov</dc:creator>
  <cp:lastModifiedBy>Alvina Cumayeva</cp:lastModifiedBy>
  <dcterms:created xsi:type="dcterms:W3CDTF">2015-06-05T18:19:34Z</dcterms:created>
  <dcterms:modified xsi:type="dcterms:W3CDTF">2026-04-29T13:46:22Z</dcterms:modified>
</cp:coreProperties>
</file>