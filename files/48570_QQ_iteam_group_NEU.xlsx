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13_ncr:1_{680F0D29-9F10-43EF-95D1-F8E29F83FF03}" xr6:coauthVersionLast="47" xr6:coauthVersionMax="47" xr10:uidLastSave="{00000000-0000-0000-0000-000000000000}"/>
  <bookViews>
    <workbookView xWindow="-108" yWindow="-108" windowWidth="23256" windowHeight="12456" xr2:uid="{7699844D-1CCE-4FE4-B7C0-C095213AD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  <c r="F11" i="1" l="1"/>
</calcChain>
</file>

<file path=xl/sharedStrings.xml><?xml version="1.0" encoding="utf-8"?>
<sst xmlns="http://schemas.openxmlformats.org/spreadsheetml/2006/main" count="62" uniqueCount="62">
  <si>
    <t>No.</t>
  </si>
  <si>
    <t>Model / Description</t>
  </si>
  <si>
    <t>Category</t>
  </si>
  <si>
    <t>Qty per Site</t>
  </si>
  <si>
    <t>Sites</t>
  </si>
  <si>
    <t>Total Qty</t>
  </si>
  <si>
    <t>Notes</t>
  </si>
  <si>
    <t>PoE Switch</t>
  </si>
  <si>
    <t>Hikvision DS-TCG406-E</t>
  </si>
  <si>
    <t>ANPR Camera</t>
  </si>
  <si>
    <t>Automatic Number Plate Recognition camera</t>
  </si>
  <si>
    <t>NVR</t>
  </si>
  <si>
    <t>Network Video Recorder, 4-channel</t>
  </si>
  <si>
    <t>Hikvision DS-2CD2643G2-LIZS2U</t>
  </si>
  <si>
    <t>IP Camera (Outdoor)</t>
  </si>
  <si>
    <t>4MP outdoor varifocal security camera</t>
  </si>
  <si>
    <t>Hikvision DS-2CD1343G2-LIUF</t>
  </si>
  <si>
    <t>IP Camera (Indoor)</t>
  </si>
  <si>
    <t>4MP indoor fixed dome camera</t>
  </si>
  <si>
    <t>UPS 1.5 kVA</t>
  </si>
  <si>
    <t>Uninterruptible Power Supply</t>
  </si>
  <si>
    <t>1500 VA / 900W UPS backup power</t>
  </si>
  <si>
    <t>TOTAL</t>
  </si>
  <si>
    <t>HP 527sf</t>
  </si>
  <si>
    <t>Monitor</t>
  </si>
  <si>
    <t>27" Full HD monitor</t>
  </si>
  <si>
    <t>HDMI Cable 1.5m</t>
  </si>
  <si>
    <t>Cable</t>
  </si>
  <si>
    <t>HDMI 1.4 / 2.0, 1.5 metre</t>
  </si>
  <si>
    <t>WD Purple 4TB (WD40PURZ)</t>
  </si>
  <si>
    <t>HDD (for NVR)</t>
  </si>
  <si>
    <t>Western Digital Purple 4TB surveillance HDD</t>
  </si>
  <si>
    <t xml:space="preserve">DS-3T1512HP-SI-8P4F </t>
  </si>
  <si>
    <t xml:space="preserve">DS-7604NXI-K1/4P </t>
  </si>
  <si>
    <t>Qiymət ƏDV-siz</t>
  </si>
  <si>
    <t>10-port PoE managed switch</t>
  </si>
  <si>
    <t>HIKVISION - DS-3T1512HP-SI-8P4F (8 Port Gigabit Smart Managed Industrial POE Switch/240 W)</t>
  </si>
  <si>
    <t>HIKVISION - DS-TCG406-E (2.8mm-12mm) 4 MP Access ANPR Camera</t>
  </si>
  <si>
    <t>HIKVISION - DS-7104NI-Q1/4P (4-ch/1 HDD) Mini 4 PoE 1U NVR</t>
  </si>
  <si>
    <t>HIKVISION - DS-2CD1643G2-LIZU (2.8mm-12mm) 4 MP IR50m/LED50m Dual Light MD 2.0 Varifocal Bullet Network Camera</t>
  </si>
  <si>
    <t>HIKVISION - DS-2CD1343G2-LIUF (2.8mm) 4 MP IR30m Smart Hybrid Light Fixed Turret Network Camera</t>
  </si>
  <si>
    <t>VOLTAM VA-15 1500VA/900W Line Interactive UPS</t>
  </si>
  <si>
    <t>DAHUA MONITOR 27"inch - ( DHI-LM27-F211 )</t>
  </si>
  <si>
    <r>
      <t>VOLTAM VH-09 HDMİ1.4 cable 4K 30HZ</t>
    </r>
    <r>
      <rPr>
        <sz val="11"/>
        <color rgb="FFFF0000"/>
        <rFont val="Aptos Narrow"/>
        <scheme val="minor"/>
      </rPr>
      <t xml:space="preserve"> (3m)</t>
    </r>
  </si>
  <si>
    <t>HIKVISION - DS40HKVS-VX1 (4TB/5400RPM)</t>
  </si>
  <si>
    <t>Qiymət ƏDV DAXİL</t>
  </si>
  <si>
    <t>Bizdə olan say</t>
  </si>
  <si>
    <t>1 922.70</t>
  </si>
  <si>
    <t>1 024.68</t>
  </si>
  <si>
    <t>2 411.40</t>
  </si>
  <si>
    <t>4 211.88</t>
  </si>
  <si>
    <t>619,99</t>
  </si>
  <si>
    <t>86,31</t>
  </si>
  <si>
    <t>162,94</t>
  </si>
  <si>
    <t>72,36</t>
  </si>
  <si>
    <t>101,69</t>
  </si>
  <si>
    <t>170,30</t>
  </si>
  <si>
    <t>5,63</t>
  </si>
  <si>
    <t>297,45</t>
  </si>
  <si>
    <t>3 517,08</t>
  </si>
  <si>
    <t>4 389,54</t>
  </si>
  <si>
    <t>1 222,08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</si>
</sst>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B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3" xfId="0" applyFont="1" applyFill="1" applyBorder="1"/>
    <xf numFmtId="0" fontId="0" fillId="3" borderId="0" xfId="0" applyFill="1" applyBorder="1"/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4" xfId="0" applyBorder="1"/>
    <xf numFmtId="0" fontId="0" fillId="5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3" borderId="9" xfId="0" applyFill="1" applyBorder="1"/>
    <xf numFmtId="0" fontId="0" fillId="5" borderId="4" xfId="0" applyFill="1" applyBorder="1"/>
    <xf numFmtId="0" fontId="0" fillId="5" borderId="4" xfId="0" applyFill="1" applyBorder="1" applyAlignment="1">
      <alignment wrapText="1"/>
    </xf>
    <xf numFmtId="0" fontId="0" fillId="4" borderId="4" xfId="0" applyFill="1" applyBorder="1"/>
    <xf numFmtId="0" fontId="0" fillId="4" borderId="4" xfId="0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B7D40B-C789-4814-8162-7790C19C2FD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af5745d-f3f2-41ee-9c2e-4421aeae7a5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0A0F-688C-4E39-BE12-3EDC18796E74}">
  <dimension ref="A1:K22"/>
  <sheetViews>
    <sheetView tabSelected="1" topLeftCell="C1" workbookViewId="0">
      <pane ySplit="1" topLeftCell="A2" activePane="bottomLeft" state="frozen"/>
      <selection pane="bottomLeft" activeCell="H6" sqref="H6"/>
    </sheetView>
  </sheetViews>
  <sheetFormatPr defaultRowHeight="13.8"/>
  <cols>
    <col min="1" max="1" width="3.796875" bestFit="1" customWidth="1"/>
    <col min="2" max="2" width="28.69921875" bestFit="1" customWidth="1"/>
    <col min="3" max="3" width="24.5" bestFit="1" customWidth="1"/>
    <col min="4" max="4" width="11.296875" bestFit="1" customWidth="1"/>
    <col min="7" max="7" width="37.796875" bestFit="1" customWidth="1"/>
    <col min="8" max="8" width="44.09765625" customWidth="1"/>
    <col min="9" max="9" width="14" customWidth="1"/>
    <col min="10" max="10" width="17.69921875" bestFit="1" customWidth="1"/>
    <col min="11" max="11" width="13.3984375" bestFit="1" customWidth="1"/>
  </cols>
  <sheetData>
    <row r="1" spans="1:11" ht="28.2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7" t="s">
        <v>6</v>
      </c>
      <c r="H1" s="9"/>
      <c r="I1" s="12" t="s">
        <v>34</v>
      </c>
      <c r="J1" s="12" t="s">
        <v>45</v>
      </c>
      <c r="K1" s="12" t="s">
        <v>46</v>
      </c>
    </row>
    <row r="2" spans="1:11" ht="27.6">
      <c r="A2" s="6">
        <v>2</v>
      </c>
      <c r="B2" s="7" t="s">
        <v>32</v>
      </c>
      <c r="C2" s="7" t="s">
        <v>7</v>
      </c>
      <c r="D2" s="6">
        <v>2</v>
      </c>
      <c r="E2" s="6">
        <v>6</v>
      </c>
      <c r="F2" s="15">
        <f t="shared" ref="F2:F10" si="0">D2*E2</f>
        <v>12</v>
      </c>
      <c r="G2" s="19" t="s">
        <v>35</v>
      </c>
      <c r="H2" s="20" t="s">
        <v>36</v>
      </c>
      <c r="I2" s="13">
        <v>248.38</v>
      </c>
      <c r="J2" s="13" t="s">
        <v>59</v>
      </c>
      <c r="K2" s="14">
        <v>12</v>
      </c>
    </row>
    <row r="3" spans="1:11" ht="27.6">
      <c r="A3" s="4">
        <v>3</v>
      </c>
      <c r="B3" s="5" t="s">
        <v>8</v>
      </c>
      <c r="C3" s="5" t="s">
        <v>9</v>
      </c>
      <c r="D3" s="4">
        <v>2</v>
      </c>
      <c r="E3" s="4">
        <v>6</v>
      </c>
      <c r="F3" s="16">
        <f t="shared" si="0"/>
        <v>12</v>
      </c>
      <c r="G3" s="21" t="s">
        <v>10</v>
      </c>
      <c r="H3" s="22" t="s">
        <v>37</v>
      </c>
      <c r="I3" s="13" t="s">
        <v>51</v>
      </c>
      <c r="J3" s="13" t="s">
        <v>60</v>
      </c>
      <c r="K3" s="14">
        <v>6</v>
      </c>
    </row>
    <row r="4" spans="1:11" ht="27.6">
      <c r="A4" s="6">
        <v>4</v>
      </c>
      <c r="B4" s="7" t="s">
        <v>33</v>
      </c>
      <c r="C4" s="7" t="s">
        <v>11</v>
      </c>
      <c r="D4" s="6">
        <v>2</v>
      </c>
      <c r="E4" s="6">
        <v>6</v>
      </c>
      <c r="F4" s="15">
        <f t="shared" si="0"/>
        <v>12</v>
      </c>
      <c r="G4" s="19" t="s">
        <v>12</v>
      </c>
      <c r="H4" s="23" t="s">
        <v>38</v>
      </c>
      <c r="I4" s="13" t="s">
        <v>52</v>
      </c>
      <c r="J4" s="13" t="s">
        <v>61</v>
      </c>
      <c r="K4" s="14">
        <v>12</v>
      </c>
    </row>
    <row r="5" spans="1:11" ht="41.4">
      <c r="A5" s="4">
        <v>5</v>
      </c>
      <c r="B5" s="5" t="s">
        <v>13</v>
      </c>
      <c r="C5" s="5" t="s">
        <v>14</v>
      </c>
      <c r="D5" s="4">
        <v>4</v>
      </c>
      <c r="E5" s="4">
        <v>6</v>
      </c>
      <c r="F5" s="16">
        <f t="shared" si="0"/>
        <v>24</v>
      </c>
      <c r="G5" s="21" t="s">
        <v>15</v>
      </c>
      <c r="H5" s="24" t="s">
        <v>39</v>
      </c>
      <c r="I5" s="13" t="s">
        <v>53</v>
      </c>
      <c r="J5" s="13" t="s">
        <v>47</v>
      </c>
      <c r="K5" s="14">
        <v>10</v>
      </c>
    </row>
    <row r="6" spans="1:11" ht="41.4">
      <c r="A6" s="6">
        <v>6</v>
      </c>
      <c r="B6" s="7" t="s">
        <v>16</v>
      </c>
      <c r="C6" s="7" t="s">
        <v>17</v>
      </c>
      <c r="D6" s="6">
        <v>2</v>
      </c>
      <c r="E6" s="6">
        <v>6</v>
      </c>
      <c r="F6" s="15">
        <f t="shared" si="0"/>
        <v>12</v>
      </c>
      <c r="G6" s="19" t="s">
        <v>18</v>
      </c>
      <c r="H6" s="20" t="s">
        <v>40</v>
      </c>
      <c r="I6" s="13" t="s">
        <v>54</v>
      </c>
      <c r="J6" s="13" t="s">
        <v>48</v>
      </c>
      <c r="K6" s="14">
        <v>12</v>
      </c>
    </row>
    <row r="7" spans="1:11">
      <c r="A7" s="4">
        <v>9</v>
      </c>
      <c r="B7" s="5" t="s">
        <v>19</v>
      </c>
      <c r="C7" s="5" t="s">
        <v>20</v>
      </c>
      <c r="D7" s="4">
        <v>2</v>
      </c>
      <c r="E7" s="4">
        <v>6</v>
      </c>
      <c r="F7" s="16">
        <f t="shared" si="0"/>
        <v>12</v>
      </c>
      <c r="G7" s="21" t="s">
        <v>21</v>
      </c>
      <c r="H7" s="22" t="s">
        <v>41</v>
      </c>
      <c r="I7" s="13" t="s">
        <v>55</v>
      </c>
      <c r="J7" s="13">
        <v>959.92</v>
      </c>
      <c r="K7" s="14">
        <v>8</v>
      </c>
    </row>
    <row r="8" spans="1:11">
      <c r="A8" s="4">
        <v>11</v>
      </c>
      <c r="B8" s="5" t="s">
        <v>23</v>
      </c>
      <c r="C8" s="5" t="s">
        <v>24</v>
      </c>
      <c r="D8" s="4">
        <v>2</v>
      </c>
      <c r="E8" s="4">
        <v>6</v>
      </c>
      <c r="F8" s="16">
        <f t="shared" si="0"/>
        <v>12</v>
      </c>
      <c r="G8" s="21" t="s">
        <v>25</v>
      </c>
      <c r="H8" s="21" t="s">
        <v>42</v>
      </c>
      <c r="I8" s="13" t="s">
        <v>56</v>
      </c>
      <c r="J8" s="13" t="s">
        <v>49</v>
      </c>
      <c r="K8" s="14">
        <v>12</v>
      </c>
    </row>
    <row r="9" spans="1:11">
      <c r="A9" s="6">
        <v>14</v>
      </c>
      <c r="B9" s="7" t="s">
        <v>26</v>
      </c>
      <c r="C9" s="7" t="s">
        <v>27</v>
      </c>
      <c r="D9" s="6">
        <v>2</v>
      </c>
      <c r="E9" s="6">
        <v>6</v>
      </c>
      <c r="F9" s="15">
        <f t="shared" si="0"/>
        <v>12</v>
      </c>
      <c r="G9" s="19" t="s">
        <v>28</v>
      </c>
      <c r="H9" s="19" t="s">
        <v>43</v>
      </c>
      <c r="I9" s="13" t="s">
        <v>57</v>
      </c>
      <c r="J9" s="13">
        <v>79.680000000000007</v>
      </c>
      <c r="K9" s="14">
        <v>12</v>
      </c>
    </row>
    <row r="10" spans="1:11">
      <c r="A10" s="4">
        <v>15</v>
      </c>
      <c r="B10" s="5" t="s">
        <v>29</v>
      </c>
      <c r="C10" s="5" t="s">
        <v>30</v>
      </c>
      <c r="D10" s="4">
        <v>2</v>
      </c>
      <c r="E10" s="4">
        <v>6</v>
      </c>
      <c r="F10" s="16">
        <f t="shared" si="0"/>
        <v>12</v>
      </c>
      <c r="G10" s="21" t="s">
        <v>31</v>
      </c>
      <c r="H10" s="21" t="s">
        <v>44</v>
      </c>
      <c r="I10" s="13" t="s">
        <v>58</v>
      </c>
      <c r="J10" s="13" t="s">
        <v>50</v>
      </c>
      <c r="K10" s="14">
        <v>12</v>
      </c>
    </row>
    <row r="11" spans="1:11">
      <c r="A11" s="1"/>
      <c r="B11" s="2" t="s">
        <v>22</v>
      </c>
      <c r="C11" s="1"/>
      <c r="D11" s="1"/>
      <c r="E11" s="1"/>
      <c r="F11" s="3">
        <f>SUM(F2:F10)</f>
        <v>120</v>
      </c>
      <c r="G11" s="18"/>
      <c r="H11" s="11"/>
      <c r="I11" s="11"/>
      <c r="J11" s="11"/>
    </row>
    <row r="12" spans="1:11">
      <c r="B12" s="10"/>
    </row>
    <row r="13" spans="1:11">
      <c r="A13" s="14"/>
      <c r="B13" s="21"/>
      <c r="C13" s="14"/>
      <c r="D13" s="14"/>
      <c r="E13" s="14"/>
    </row>
    <row r="14" spans="1:11">
      <c r="A14" s="14"/>
      <c r="B14" s="21"/>
      <c r="C14" s="14"/>
      <c r="D14" s="14"/>
      <c r="E14" s="14"/>
    </row>
    <row r="15" spans="1:11">
      <c r="A15" s="14"/>
      <c r="B15" s="14"/>
      <c r="C15" s="14"/>
      <c r="D15" s="14"/>
      <c r="E15" s="14"/>
    </row>
    <row r="16" spans="1:11">
      <c r="A16" s="14"/>
      <c r="B16" s="21"/>
      <c r="C16" s="14"/>
      <c r="D16" s="14"/>
      <c r="E16" s="14"/>
    </row>
    <row r="17" spans="1:5">
      <c r="A17" s="14"/>
      <c r="B17" s="21"/>
      <c r="C17" s="14"/>
      <c r="D17" s="14"/>
      <c r="E17" s="14"/>
    </row>
    <row r="18" spans="1:5">
      <c r="A18" s="14"/>
      <c r="B18" s="21"/>
      <c r="C18" s="14"/>
      <c r="D18" s="14"/>
      <c r="E18" s="14"/>
    </row>
    <row r="19" spans="1:5">
      <c r="A19" s="14"/>
      <c r="B19" s="21"/>
      <c r="C19" s="14"/>
      <c r="D19" s="14"/>
      <c r="E19" s="14"/>
    </row>
    <row r="20" spans="1:5">
      <c r="A20" s="14"/>
      <c r="B20" s="14"/>
      <c r="C20" s="14"/>
      <c r="D20" s="14"/>
      <c r="E20" s="14"/>
    </row>
    <row r="21" spans="1:5">
      <c r="A21" s="14"/>
      <c r="B21" s="14"/>
      <c r="C21" s="14"/>
      <c r="D21" s="14"/>
      <c r="E21" s="14"/>
    </row>
    <row r="22" spans="1:5">
      <c r="A22" s="14"/>
      <c r="B22" s="14"/>
      <c r="C22" s="14"/>
      <c r="D22" s="14"/>
      <c r="E22" s="1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Yusif Rustamov</dc:creator>
  <cp:lastModifiedBy>Zeyneb Alamova</cp:lastModifiedBy>
  <dcterms:created xsi:type="dcterms:W3CDTF">2026-04-08T15:20:26Z</dcterms:created>
  <dcterms:modified xsi:type="dcterms:W3CDTF">2026-04-14T15:13:14Z</dcterms:modified>
</cp:coreProperties>
</file>