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F8E057D2-F759-4707-B6CC-AA61A96D7D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RIXMMC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2" i="1"/>
  <c r="G109" i="1" l="1"/>
  <c r="G110" i="1" s="1"/>
  <c r="G111" i="1" s="1"/>
</calcChain>
</file>

<file path=xl/sharedStrings.xml><?xml version="1.0" encoding="utf-8"?>
<sst xmlns="http://schemas.openxmlformats.org/spreadsheetml/2006/main" count="232" uniqueCount="126">
  <si>
    <t>0,66kV-luq güc kabeli NYM 5x25(RM)</t>
  </si>
  <si>
    <t>Metr</t>
  </si>
  <si>
    <t>0,66kV-luq güc kabeli NYM 5x16(RM)</t>
  </si>
  <si>
    <t>0,6/1,0 kV-luq güc kabeli NYY 5x10</t>
  </si>
  <si>
    <t>0,6/1,0 kV-luq güc kabeli NYY-LS 3x4</t>
  </si>
  <si>
    <t>0,6/1,0kV-luq nəzarət kabeli NYY 3x2,5</t>
  </si>
  <si>
    <t>0,6/1,0kV-luq nəzarət kabeli NYY 3x1,5</t>
  </si>
  <si>
    <t>1,0 kV-luq güc kabeli TTR 3x10+1x6</t>
  </si>
  <si>
    <t xml:space="preserve">0,6/1,0 kV-luq güc kabeli NYY-LS 4x4 </t>
  </si>
  <si>
    <t>0,6/1,0 kV-luq güc kabeli NYY-LS 4x2.5</t>
  </si>
  <si>
    <t>0,6/1,0 kV-luq güc kabeli NYY-LS 1x16 Sari /yasil</t>
  </si>
  <si>
    <t>Güc kabeli 2(3x95/16) 6 kV-luq</t>
  </si>
  <si>
    <t>1,0 kV-luq güc kabeli ВВГнг 4(1х400)</t>
  </si>
  <si>
    <t>M400 kabel sonluğu</t>
  </si>
  <si>
    <t>3X(95-240) 10KV DAXILI SONLUQ MUFTASI</t>
  </si>
  <si>
    <t>Dəst</t>
  </si>
  <si>
    <t>Metal Kabel korob 100x200mm+Qapaq ve Bütün aksesuarlarıyla</t>
  </si>
  <si>
    <t>Metal Kabel korob 50x50mm+Qapaq ve Bütün aksesuarlarıyla</t>
  </si>
  <si>
    <t>ПВХ-20 Polivinilxlorid boru D20</t>
  </si>
  <si>
    <t>ПВХ-20 Polivinilxlorid boru Ek Mufu</t>
  </si>
  <si>
    <t>Ədəd</t>
  </si>
  <si>
    <t>ПВХ-20 Polivinilxlorid boru Kroşesi</t>
  </si>
  <si>
    <t>8 mm Dübel tıxac ve Şurup</t>
  </si>
  <si>
    <t>ПВХ-20 Polivinilxlorid boru Rakoru</t>
  </si>
  <si>
    <t>Plastik boru D80</t>
  </si>
  <si>
    <t>Nəzarət və idarəetmə pultu C2000</t>
  </si>
  <si>
    <t>Rele modulu C2000-СП2</t>
  </si>
  <si>
    <t>Ünvan xəttinin nəzarətcisi C2000-KDL</t>
  </si>
  <si>
    <t>Optik-elektron tipli tüstü yanğın xəbərvericisi ДИП-34</t>
  </si>
  <si>
    <t>Optiko-elektron tipli isti yanğın xəbərvericisi C2000-03</t>
  </si>
  <si>
    <t>Əl ilə idarə olunan yanğın xəbərvericisi ИПР-513А</t>
  </si>
  <si>
    <t>İşiq səs siqnallı sirena OPOP124-7</t>
  </si>
  <si>
    <t>Yanğın siqnalizasiya sistemi üçün, akkumlyator Optimus OP 1207 12V 7Ah</t>
  </si>
  <si>
    <t>Qida bloku</t>
  </si>
  <si>
    <t>Yanğın kabeli 2x2x0.8mm2 mis damarlı odadavamlı</t>
  </si>
  <si>
    <t>İşıq yanğın tablosu,işıqlanmarəngi-yaşıl,fonu-ağ,yazı-“CIXIŞ”</t>
  </si>
  <si>
    <t>Plastik korob 25x25</t>
  </si>
  <si>
    <t>24 portlu PoE switch</t>
  </si>
  <si>
    <t>Kabel düzənləyici-1U 19"</t>
  </si>
  <si>
    <t>Patch cord Cat6 cüt şəbəkə əlaqə kabeli 3 metr Legrand,Digitus,Beek</t>
  </si>
  <si>
    <t>Patch cord Cat6 cüt əlaqə kabeli 1 metr Legrand,Digitus,Beek</t>
  </si>
  <si>
    <t>Plastik Kabel korob 25x25</t>
  </si>
  <si>
    <t>Plastik qofra şlanq D25</t>
  </si>
  <si>
    <t>Bir modulu zirehli fibro kabel FO-12</t>
  </si>
  <si>
    <t>Optik kross, sonlama qutusu, 24 port</t>
  </si>
  <si>
    <t>Şkaf tipli 12port sonlama qutusu (SC adapterlər kaset və piqtey ilə birlikdə)</t>
  </si>
  <si>
    <t>İdarəolunmayan sənaye tipli switch-hub 24-port RJ-45</t>
  </si>
  <si>
    <t>Kabel UTP Cat 5e 4x2x0.52mm2</t>
  </si>
  <si>
    <t>Mediakonverter 10/100 Baze-TX to 100Baze-FX.</t>
  </si>
  <si>
    <t>Çoxportlu abonent VoiP şlyuzu (ATS) TAU-32M</t>
  </si>
  <si>
    <t>Panellər arası kabel orqanayzer 19" tipi 1U</t>
  </si>
  <si>
    <t>Patch panel 19" 1U 24-port RJ45</t>
  </si>
  <si>
    <t>Patch panel 19" 1U 16-port RJ45</t>
  </si>
  <si>
    <t>Patch cord UTP Cat5e L-1 metr</t>
  </si>
  <si>
    <t>Patch cord UTP Cat5e L-2 metr</t>
  </si>
  <si>
    <t>Patch cord UTP Cat5e L-3 metr</t>
  </si>
  <si>
    <t>İki yuvalı əlaqələndirici qutu</t>
  </si>
  <si>
    <t>Plastik kabel korobu 100x40 (150m)</t>
  </si>
  <si>
    <t>Plastik Kabel korobu 40x25</t>
  </si>
  <si>
    <t>Plastik xamut 5x25</t>
  </si>
  <si>
    <t>Qofralı şlanq 50mm</t>
  </si>
  <si>
    <t>Plastik boru D75x3mm</t>
  </si>
  <si>
    <t>Hermetik plastik quyu 600x600 (ExH) 3xD75mm çıxışlı</t>
  </si>
  <si>
    <t>Kabel quyusu üçün adapter 75mm</t>
  </si>
  <si>
    <t>Şəbəkə şkafı İP55 600x600mm</t>
  </si>
  <si>
    <t>Optik qovuşma kaseti</t>
  </si>
  <si>
    <t>Fasiləsiz qida mənbəyi 220V ББП-30 (UPS)</t>
  </si>
  <si>
    <t>Elektrik yuva</t>
  </si>
  <si>
    <t>Fiber optik patch cord SC/SC</t>
  </si>
  <si>
    <t>kabel TAU-32M lif sayı 18cüt</t>
  </si>
  <si>
    <r>
      <t>PL-1 Suvaq Üsdü Plastik Fiber Terminal Qutusu İndoor/Outdoor 24-portlu (VİKO-24 güc paylayıcı qutu.)</t>
    </r>
    <r>
      <rPr>
        <sz val="10"/>
        <color rgb="FFFF0000"/>
        <rFont val="Verdana"/>
        <family val="2"/>
      </rPr>
      <t>( Daxildir :SCHNEIDER EZ9F43363 3KA 3FAZ C TİPİ 63A AVTOMAT AÇAR, Almaniya istehsalı (5SY6 363-7/63A avtomat açar) 1 Ədəd ,SCHNEIDER EZ9F43216 3KA 1FAZ C TİPİ 16A AVTOMAT AÇAR, Almaniya istehsalı (5SL6116-7/16A avtomat açar) 5 Ədəd ,SCHNEIDER EZ9F43110 3KA 1FAZ C TİPİ 10A AVTOMAT AÇAR, Almaniya istehsalı (5SL6106-7/6A avtomat açar) 6 Əded )</t>
    </r>
  </si>
  <si>
    <r>
      <t>PL-2 Suvaq Üsdü Plastik Fiber Terminal Qutusu İndoor/Outdoor 24-portlu (VİKO-24 güc paylayıcı qutu.)</t>
    </r>
    <r>
      <rPr>
        <sz val="10"/>
        <color rgb="FFFF0000"/>
        <rFont val="Verdana"/>
        <family val="2"/>
      </rPr>
      <t xml:space="preserve">( Daxildir :SCHNEIDER A9N18367 25KA 3FAZ C TİPİ 125A AVTOMAT AÇAR, Almaniya istehsalı (BA 99125/125A avtomat açar)  1 Əded ,SCHNEIDER EZ9F43363 3KA 3FAZ C TİPİ 63A AVTOMAT AÇAR, Almaniya istehsalı (5SY6 363-7/63A avtomat açar) 1 Ədəd ,SCHNEIDER EZ9F43216 3KA 2FAZ C TİPİ 16A AVTOMAT AÇAR, Almaniya istehsalı (5SL6116-7/16A avtomat açar) 9 Ədəd ,SCHNEIDER EZ9F43110 3KA 1FAZ C TİPİ 10A AVTOMAT AÇAR, Almaniya istehsalı (5SL6106-7/6A avtomat açar) 4 Əded </t>
    </r>
  </si>
  <si>
    <r>
      <t>PL-3 Suvaq Üsdü Plastik Fiber Terminal Qutusu İndoor/Outdoor 24-portlu (VİKO-24 güc paylayıcı qutu.)</t>
    </r>
    <r>
      <rPr>
        <sz val="10"/>
        <color rgb="FFFF0000"/>
        <rFont val="Verdana"/>
        <family val="2"/>
      </rPr>
      <t>( Daxildir :SCHNEIDER EZ9F43363 3KA 3FAZ C TİPİ 63A AVTOMAT AÇAR, Almaniya istehsalı (5SY6 363-7/63A avtomat açar) 1 Ədəd ,SCHNEIDER EZ9F43216 3KA 1FAZ C TİPİ 16A AVTOMAT AÇAR, Almaniya istehsalı (5SL6116-7/16A avtomat açar) 5 Ədəd ,SCHNEIDER EZ9F43110 3KA 1FAZ C TİPİ 10A AVTOMAT AÇAR, Almaniya istehsalı (5SL6106-7/6A avtomat açar) 5 Əded )</t>
    </r>
  </si>
  <si>
    <r>
      <t>GPL-1 Suvaq Üsdü Plastik Fiber Terminal Qutusu İndoor/Outdoor 24-portlu (VİKO-24 güc paylayıcı qutu.)</t>
    </r>
    <r>
      <rPr>
        <sz val="10"/>
        <color rgb="FFFF0000"/>
        <rFont val="Verdana"/>
        <family val="2"/>
      </rPr>
      <t>( Daxildir : Birinci Giriş :SCHNEIDER EZ9F43340 3KA 3FAZ C TİPİ 40A AVTOMAT AÇAR, Almaniya istehsalı (5SL6106-7/40 avtomat açar 40A 3 fazalı) 1 Ədəd ,SCHNEIDER EZ9F43216 3KA 2FAZ C TİPİ 16A AVTOMAT AÇAR, Almaniya istehsalı (5SL6116-7/16A avtomat açar) 6 Ədəd ,AVTOMAT AÇAR SIEMENS B TİPİ 5SL6106 - 6 B 6 6KA, Türkiyə istehsalı (5SL6106-7/6A 6A 1fazlı) 7 Əded ,</t>
    </r>
    <r>
      <rPr>
        <sz val="10"/>
        <color theme="4"/>
        <rFont val="Verdana"/>
        <family val="2"/>
      </rPr>
      <t>İkinci Giriş :SCHNEIDER EZ9F43363 3KA 3FAZ C TİPİ 63A AVTOMAT AÇAR, Almaniya istehsalı (5SY6325-7/63A avtomat açar 63A 3 fazalı) 1 Ədəd ,SCHNEIDER EZ9F43225 3KA 2FAZ C TİPİ 25A AVTOMAT AÇAR, Almaniya istehsalı (5SL6106-7/25A avtomat açar 25A 1fazlı) 6 Əded)</t>
    </r>
  </si>
  <si>
    <r>
      <t>GPL-2 Suvaq Üsdü Plastik Fiber Terminal Qutusu İndoor/Outdoor 24-portlu (VİKO-24 güc paylayıcı qutu.)</t>
    </r>
    <r>
      <rPr>
        <sz val="10"/>
        <color rgb="FFFF0000"/>
        <rFont val="Verdana"/>
        <family val="2"/>
      </rPr>
      <t>( Daxildir : Birinci Giriş :SCHNEIDER EZ9F43340 3KA 3FAZ C TİPİ 40A AVTOMAT AÇAR, Almaniya istehsalı (5SL6106-7/40 avtomat açar 40A 3 fazalı) 1 Ədəd ,SCHNEIDER EZ9F43216 3KA 2FAZ C TİPİ 16A AVTOMAT AÇAR, Almaniya istehsalı (5SL6116-7/16A avtomat açar) 4 Ədəd ,AVTOMAT AÇAR SIEMENS B TİPİ 5SL6106 - 6 B 6 6KA, Türkiyə istehsalı (5SL6106-7/6A 6A 1fazlı) 5 Əded ,</t>
    </r>
    <r>
      <rPr>
        <sz val="10"/>
        <color theme="4"/>
        <rFont val="Verdana"/>
        <family val="2"/>
      </rPr>
      <t>İkinci Giriş :SCHNEIDER EZ9F43363 3KA 3FAZ C TİPİ 63A AVTOMAT AÇAR, Almaniya istehsalı (5SY6325-7/63A avtomat açar 63A 3 fazalı) 1 Ədəd ,SCHNEIDER EZ9F43225 3KA 2FAZ C TİPİ 25A AVTOMAT AÇAR, Almaniya istehsalı (5SL6106-7/25A avtomat açar 25A 1fazlı) 4 Əded)</t>
    </r>
  </si>
  <si>
    <r>
      <t>GPL-3 Suvaq Üsdü Plastik Fiber Terminal Qutusu İndoor/Outdoor 24-portlu (VİKO-24 güc paylayıcı qutu.)</t>
    </r>
    <r>
      <rPr>
        <sz val="10"/>
        <color rgb="FFFF0000"/>
        <rFont val="Verdana"/>
        <family val="2"/>
      </rPr>
      <t>( Daxildir : Birinci Giriş :SCHNEIDER EZ9F43340 3KA 3FAZ C TİPİ 40A AVTOMAT AÇAR, Almaniya istehsalı (5SL6106-7/40 avtomat açar 40A 3 fazalı) 1 Ədəd ,SCHNEIDER EZ9F43216 3KA 1FAZ C TİPİ 16A AVTOMAT AÇAR, Almaniya istehsalı (5SL6116-7/16A avtomat açar) 6 Ədəd ,AVTOMAT AÇAR SIEMENS B TİPİ 5SL6106 - 6 B 6 6KA, Türkiyə istehsalı (5SL6106-7/6A 6A 1fazlı) 7 Əded ,</t>
    </r>
    <r>
      <rPr>
        <sz val="10"/>
        <color theme="4"/>
        <rFont val="Verdana"/>
        <family val="2"/>
      </rPr>
      <t>İkinci Giriş :SCHNEIDER EZ9F43363 3KA 3FAZ C TİPİ 63A AVTOMAT AÇAR, Almaniya istehsalı (5SY6325-7/63A avtomat açar 63A 3 fazalı) 1 Ədəd ,SCHNEIDER EZ9F43225 3KA 2FAZ C TİPİ 25A AVTOMAT AÇAR, Almaniya istehsalı (5SL6106-7/25A avtomat açar 25A 1fazlı) 7 Əded)</t>
    </r>
  </si>
  <si>
    <r>
      <t>GPL-4 Suvaq Üsdü Plastik Fiber Terminal Qutusu İndoor/Outdoor 24-portlu (VİKO-24 güc paylayıcı qutu.)</t>
    </r>
    <r>
      <rPr>
        <sz val="10"/>
        <color rgb="FFFF0000"/>
        <rFont val="Verdana"/>
        <family val="2"/>
      </rPr>
      <t>( Daxildir : Birinci Giriş :SCHNEIDER EZ9F43340 3KA 3FAZ C TİPİ 40A AVTOMAT AÇAR, Almaniya istehsalı (5SL6106-7/40 avtomat açar 40A 3 fazalı) 1 Ədəd ,SCHNEIDER EZ9F43216 3KA 1FAZ C TİPİ 16A AVTOMAT AÇAR, Almaniya istehsalı (5SL6116-7/16A avtomat açar) 5 Ədəd ,AVTOMAT AÇAR SIEMENS B TİPİ 5SL6106 - 6 B 6 6KA, Türkiyə istehsalı (5SL6106-7/6A 6A 1fazlı) 6 Əded ,</t>
    </r>
    <r>
      <rPr>
        <sz val="10"/>
        <color theme="4"/>
        <rFont val="Verdana"/>
        <family val="2"/>
      </rPr>
      <t>İkinci Giriş :SCHNEIDER EZ9F43363 3KA 3FAZ C TİPİ 63A AVTOMAT AÇAR, Almaniya istehsalı (5SY6325-7/63A avtomat açar 63A 3 fazalı) 1 Ədəd ,SCHNEIDER EZ9F43225 3KA 2FAZ C TİPİ 25A AVTOMAT AÇAR, Almaniya istehsalı (5SL6106-7/25A avtomat açar 25A 1fazlı) 7 Əded)</t>
    </r>
  </si>
  <si>
    <t>Lüminesent və ya civə lampalı çılçıraqlar (T2-2x18VT elektrik çılçıraqlar)</t>
  </si>
  <si>
    <t>LED lampalı çıraq 220V, 10 Vt lampa ilə dəst İP65 (Socar layihələri üçün) (T2-4x18VT elektrik çıraq)</t>
  </si>
  <si>
    <t>LED lampalı çıraq 220V, 21 Vt lampa ilə dəst İP65 (Socar layihələri üçün) (ЭРА SPB-201-0-40K-02 çılçıraqlar.)</t>
  </si>
  <si>
    <t>DPO15-19-302 EM1 LED tipli akkumlyatorlu çıraq (Socar layihələri üçün) (ТРИУМФ-ПРОМ-110 çılçıraqlar)</t>
  </si>
  <si>
    <t>LED lampalı çıraq 220V, 10 Vt lampa ilə dəst İP65 (Socar layihələri üçün) (Led 8-10Vt İP65 divar üçün çıraq)</t>
  </si>
  <si>
    <t>Elektrik açarı 2 dilli Dimmer gold im (Pelsan elektrik açar 2 qütblü.)</t>
  </si>
  <si>
    <t>Elektrik açarı 1 dilli Dimmer gold im (Pelsan elektrik açar 1 qütblü)</t>
  </si>
  <si>
    <t>Rozetka + TV yuvalı, AULMO AĞ SADƏ (istehsal Çin) (Klipsal rozetka torpaqlayıcısı olan)</t>
  </si>
  <si>
    <t>Paylayıcı qutu, GERMETİK QUTU 110X110X70mm (istehsal Türkiyə) (Pelsan paylayıcı qutu)</t>
  </si>
  <si>
    <t>Elektrik açarları, Modul tipli, GÜNSAN AĞ ( istehsal Türkiyə ) (Clipsal açar 2qütblu)</t>
  </si>
  <si>
    <t>Rozetka 2-li, AULMO AÇIQ QIZILI 2-Lİ (istehsal Çin) (Clipsal torpaqlayıcısı olan rozetka)</t>
  </si>
  <si>
    <t>Paylayıcı qutu, 120x120x70MM IP66 BEMIS BB1-0531-0006 (Clipsal sıxac qutusu)</t>
  </si>
  <si>
    <t>ВЭЛ51-П çıraq36 VT</t>
  </si>
  <si>
    <t>ЖПП-01-70-001 çıraq</t>
  </si>
  <si>
    <t>РЗ-ЦК-20 çıraq</t>
  </si>
  <si>
    <t>ЛПП-06 В-232 ÇIRAQ</t>
  </si>
  <si>
    <t>CLİPSAL rozetka</t>
  </si>
  <si>
    <t>CLİPSAL açar (ikiqütblü)</t>
  </si>
  <si>
    <t>CLİPSAL açar (üçqütblü)</t>
  </si>
  <si>
    <r>
      <t xml:space="preserve">400x300x250 güc paylayıcı qutu </t>
    </r>
    <r>
      <rPr>
        <sz val="10"/>
        <color rgb="FFFF0000"/>
        <rFont val="Verdana"/>
        <family val="2"/>
      </rPr>
      <t>(12-avtomat ücün) (AVTOMAT AÇAR  6A, 4 Ədəd ,Avtomat açar 3 fazalı 32A 1 Ədəd)</t>
    </r>
  </si>
  <si>
    <t>Dairəvi poladdan şaquli yerlə birləşdirici, diametri, mm:16</t>
  </si>
  <si>
    <t xml:space="preserve"> Y/birləşdirmə elektrodu, Ø16 mm, H= 5 m</t>
  </si>
  <si>
    <t>Y/birləşdirmə konturu 40x4mm2</t>
  </si>
  <si>
    <t>Polad boru 20x2,8</t>
  </si>
  <si>
    <t>AVTOMAT AÇAR SIEMENS B TİPİ 5SL6106 - 6 B 6 6KA, Türkiyə istehsalı</t>
  </si>
  <si>
    <t>ВА47-29 3Р С 10А Avtomatik açar. 10A</t>
  </si>
  <si>
    <t>ВА47-29 3Р С 4А Avtomatik açar. 4A</t>
  </si>
  <si>
    <t>Say</t>
  </si>
  <si>
    <t>No</t>
  </si>
  <si>
    <t>Tələb</t>
  </si>
  <si>
    <t>Model/Marka</t>
  </si>
  <si>
    <t>Qiymət (azn)</t>
  </si>
  <si>
    <t>Cəm (azn)</t>
  </si>
  <si>
    <t>TOPLAM</t>
  </si>
  <si>
    <t>ƏDV (18%)</t>
  </si>
  <si>
    <t>Cəm</t>
  </si>
  <si>
    <t xml:space="preserve">ПМЛ-1220-10А -220АС-(2.5-4A) </t>
  </si>
  <si>
    <t>300x150x400 Elektrik qutusu</t>
  </si>
  <si>
    <t>VOLTAM VF-122 GYXTC8Y FO-12 core TROSLU outdoor  fiber optik kabel Tube Selt-Supporting Aerial Cables 8 cores</t>
  </si>
  <si>
    <t>LINKBASIC - FWB12 ( 12 PORT BOŞ FIBER OPTIK BOX )</t>
  </si>
  <si>
    <t>TP-Link - LS1024G (24-Port Gigabit Desktop/Rackmount Switch)</t>
  </si>
  <si>
    <t>VOLTAM CAT 5E UTP INDOOR HALOGEN FREE Şəbəkə Kabeli  0.51 mm pure copper +0.91HDPE +5.1 mm PVC Fluke pass 500-METR</t>
  </si>
  <si>
    <t>TP-Link - MC100CM 10/100Mbps Multi-Mode Media Converter - до 2 км</t>
  </si>
  <si>
    <t>VOLTAM - VK-12 ( 1U Horizontal Kabel Organayzer )</t>
  </si>
  <si>
    <t>PATCH PANEL PP-03 19 Inch 1u 24 port Cat6 Utp patch panel with 1*back shelf, 110IDC</t>
  </si>
  <si>
    <t>DATALINK CAT5 UTP - LAN KABEL 1M ( GREY )</t>
  </si>
  <si>
    <t>DATALINK CAT5 UTP - LAN KABEL 2M ( BLACK )</t>
  </si>
  <si>
    <t>DATALINK CAT5 UTP - LAN KABEL 3M ( BLACK )</t>
  </si>
  <si>
    <t>VOLTAM VF-13 SC-SC SIMPLEX UPC SINGLE MODE G652D-PVC-3.0mm PATCH CORD 1.5Metr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</si>
</sst>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₼-42C]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  <charset val="162"/>
    </font>
    <font>
      <sz val="10"/>
      <color rgb="FF000000"/>
      <name val="Verdana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sz val="10"/>
      <color rgb="FFFF0000"/>
      <name val="Verdana"/>
      <family val="2"/>
    </font>
    <font>
      <sz val="10"/>
      <color theme="4"/>
      <name val="Verdana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0" fontId="7" fillId="0" borderId="2" xfId="0" applyFont="1" applyBorder="1" applyAlignment="1">
      <alignment horizontal="right" vertical="center"/>
    </xf>
    <xf numFmtId="164" fontId="7" fillId="0" borderId="3" xfId="0" applyNumberFormat="1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topLeftCell="A67" workbookViewId="0">
      <selection activeCell="E114" sqref="E114"/>
    </sheetView>
  </sheetViews>
  <sheetFormatPr defaultRowHeight="15" x14ac:dyDescent="0.25"/>
  <cols>
    <col min="1" max="1" width="3.85546875" style="11" bestFit="1" customWidth="1"/>
    <col min="2" max="2" width="61.140625" style="12" customWidth="1"/>
    <col min="3" max="3" width="8.85546875" style="9"/>
    <col min="4" max="4" width="6.42578125" style="11" bestFit="1" customWidth="1"/>
    <col min="5" max="5" width="57.42578125" style="7" customWidth="1"/>
    <col min="6" max="6" width="14" style="8" customWidth="1"/>
    <col min="7" max="7" width="13.42578125" style="10" customWidth="1"/>
  </cols>
  <sheetData>
    <row r="1" spans="1:7" ht="14.45" customHeight="1" x14ac:dyDescent="0.25">
      <c r="A1" s="13" t="s">
        <v>105</v>
      </c>
      <c r="B1" s="14" t="s">
        <v>106</v>
      </c>
      <c r="C1" s="30" t="s">
        <v>104</v>
      </c>
      <c r="D1" s="30"/>
      <c r="E1" s="1" t="s">
        <v>107</v>
      </c>
      <c r="F1" s="5" t="s">
        <v>108</v>
      </c>
      <c r="G1" s="6" t="s">
        <v>109</v>
      </c>
    </row>
    <row r="2" spans="1:7" x14ac:dyDescent="0.25">
      <c r="A2" s="15">
        <v>1</v>
      </c>
      <c r="B2" s="3" t="s">
        <v>0</v>
      </c>
      <c r="C2" s="28">
        <v>50</v>
      </c>
      <c r="D2" s="26" t="s">
        <v>1</v>
      </c>
      <c r="E2" s="1"/>
      <c r="F2" s="22">
        <v>0</v>
      </c>
      <c r="G2" s="23">
        <f>SUM(F2*C2)</f>
        <v>0</v>
      </c>
    </row>
    <row r="3" spans="1:7" x14ac:dyDescent="0.25">
      <c r="A3" s="15">
        <v>2</v>
      </c>
      <c r="B3" s="3" t="s">
        <v>2</v>
      </c>
      <c r="C3" s="28">
        <v>50</v>
      </c>
      <c r="D3" s="26" t="s">
        <v>1</v>
      </c>
      <c r="E3" s="1"/>
      <c r="F3" s="22">
        <v>0</v>
      </c>
      <c r="G3" s="23">
        <f t="shared" ref="G3:G67" si="0">SUM(F3*C3)</f>
        <v>0</v>
      </c>
    </row>
    <row r="4" spans="1:7" x14ac:dyDescent="0.25">
      <c r="A4" s="15">
        <v>3</v>
      </c>
      <c r="B4" s="3" t="s">
        <v>3</v>
      </c>
      <c r="C4" s="28">
        <v>50</v>
      </c>
      <c r="D4" s="26" t="s">
        <v>1</v>
      </c>
      <c r="E4" s="1"/>
      <c r="F4" s="22">
        <v>0</v>
      </c>
      <c r="G4" s="23">
        <f t="shared" si="0"/>
        <v>0</v>
      </c>
    </row>
    <row r="5" spans="1:7" x14ac:dyDescent="0.25">
      <c r="A5" s="15">
        <v>4</v>
      </c>
      <c r="B5" s="3" t="s">
        <v>4</v>
      </c>
      <c r="C5" s="28">
        <v>1300</v>
      </c>
      <c r="D5" s="26" t="s">
        <v>1</v>
      </c>
      <c r="E5" s="1"/>
      <c r="F5" s="22">
        <v>0</v>
      </c>
      <c r="G5" s="23">
        <f t="shared" si="0"/>
        <v>0</v>
      </c>
    </row>
    <row r="6" spans="1:7" x14ac:dyDescent="0.25">
      <c r="A6" s="15">
        <v>5</v>
      </c>
      <c r="B6" s="3" t="s">
        <v>5</v>
      </c>
      <c r="C6" s="28">
        <v>1000</v>
      </c>
      <c r="D6" s="26" t="s">
        <v>1</v>
      </c>
      <c r="E6" s="1"/>
      <c r="F6" s="22">
        <v>0</v>
      </c>
      <c r="G6" s="23">
        <f t="shared" si="0"/>
        <v>0</v>
      </c>
    </row>
    <row r="7" spans="1:7" x14ac:dyDescent="0.25">
      <c r="A7" s="15">
        <v>6</v>
      </c>
      <c r="B7" s="3" t="s">
        <v>6</v>
      </c>
      <c r="C7" s="28">
        <v>700</v>
      </c>
      <c r="D7" s="26" t="s">
        <v>1</v>
      </c>
      <c r="E7" s="1"/>
      <c r="F7" s="22">
        <v>0</v>
      </c>
      <c r="G7" s="23">
        <f t="shared" si="0"/>
        <v>0</v>
      </c>
    </row>
    <row r="8" spans="1:7" x14ac:dyDescent="0.25">
      <c r="A8" s="15">
        <v>7</v>
      </c>
      <c r="B8" s="3" t="s">
        <v>7</v>
      </c>
      <c r="C8" s="28">
        <v>700</v>
      </c>
      <c r="D8" s="26" t="s">
        <v>1</v>
      </c>
      <c r="E8" s="1"/>
      <c r="F8" s="22">
        <v>0</v>
      </c>
      <c r="G8" s="23">
        <f t="shared" si="0"/>
        <v>0</v>
      </c>
    </row>
    <row r="9" spans="1:7" x14ac:dyDescent="0.25">
      <c r="A9" s="15">
        <v>8</v>
      </c>
      <c r="B9" s="3" t="s">
        <v>8</v>
      </c>
      <c r="C9" s="28">
        <v>50</v>
      </c>
      <c r="D9" s="26" t="s">
        <v>1</v>
      </c>
      <c r="E9" s="1"/>
      <c r="F9" s="22">
        <v>0</v>
      </c>
      <c r="G9" s="23">
        <f t="shared" si="0"/>
        <v>0</v>
      </c>
    </row>
    <row r="10" spans="1:7" x14ac:dyDescent="0.25">
      <c r="A10" s="15">
        <v>9</v>
      </c>
      <c r="B10" s="3" t="s">
        <v>9</v>
      </c>
      <c r="C10" s="28">
        <v>50</v>
      </c>
      <c r="D10" s="26" t="s">
        <v>1</v>
      </c>
      <c r="E10" s="1"/>
      <c r="F10" s="22">
        <v>0</v>
      </c>
      <c r="G10" s="23">
        <f t="shared" si="0"/>
        <v>0</v>
      </c>
    </row>
    <row r="11" spans="1:7" x14ac:dyDescent="0.25">
      <c r="A11" s="15">
        <v>10</v>
      </c>
      <c r="B11" s="3" t="s">
        <v>10</v>
      </c>
      <c r="C11" s="28">
        <v>50</v>
      </c>
      <c r="D11" s="26" t="s">
        <v>1</v>
      </c>
      <c r="E11" s="1"/>
      <c r="F11" s="22">
        <v>0</v>
      </c>
      <c r="G11" s="23">
        <f t="shared" si="0"/>
        <v>0</v>
      </c>
    </row>
    <row r="12" spans="1:7" x14ac:dyDescent="0.25">
      <c r="A12" s="15">
        <v>11</v>
      </c>
      <c r="B12" s="3" t="s">
        <v>11</v>
      </c>
      <c r="C12" s="28">
        <v>959</v>
      </c>
      <c r="D12" s="26" t="s">
        <v>1</v>
      </c>
      <c r="E12" s="1"/>
      <c r="F12" s="22">
        <v>0</v>
      </c>
      <c r="G12" s="23">
        <f t="shared" si="0"/>
        <v>0</v>
      </c>
    </row>
    <row r="13" spans="1:7" x14ac:dyDescent="0.25">
      <c r="A13" s="15">
        <v>12</v>
      </c>
      <c r="B13" s="3" t="s">
        <v>12</v>
      </c>
      <c r="C13" s="28">
        <v>80</v>
      </c>
      <c r="D13" s="26" t="s">
        <v>1</v>
      </c>
      <c r="E13" s="1"/>
      <c r="F13" s="22">
        <v>0</v>
      </c>
      <c r="G13" s="23">
        <f t="shared" si="0"/>
        <v>0</v>
      </c>
    </row>
    <row r="14" spans="1:7" x14ac:dyDescent="0.25">
      <c r="A14" s="15">
        <v>13</v>
      </c>
      <c r="B14" s="4" t="s">
        <v>13</v>
      </c>
      <c r="C14" s="28">
        <v>16</v>
      </c>
      <c r="D14" s="26" t="s">
        <v>1</v>
      </c>
      <c r="E14" s="1"/>
      <c r="F14" s="22">
        <v>0</v>
      </c>
      <c r="G14" s="23">
        <f t="shared" si="0"/>
        <v>0</v>
      </c>
    </row>
    <row r="15" spans="1:7" x14ac:dyDescent="0.25">
      <c r="A15" s="15">
        <v>14</v>
      </c>
      <c r="B15" s="4" t="s">
        <v>14</v>
      </c>
      <c r="C15" s="28">
        <v>4</v>
      </c>
      <c r="D15" s="26" t="s">
        <v>15</v>
      </c>
      <c r="E15" s="1"/>
      <c r="F15" s="22">
        <v>0</v>
      </c>
      <c r="G15" s="23">
        <f t="shared" si="0"/>
        <v>0</v>
      </c>
    </row>
    <row r="16" spans="1:7" ht="25.5" x14ac:dyDescent="0.25">
      <c r="A16" s="15">
        <v>15</v>
      </c>
      <c r="B16" s="3" t="s">
        <v>16</v>
      </c>
      <c r="C16" s="28">
        <v>370</v>
      </c>
      <c r="D16" s="26" t="s">
        <v>1</v>
      </c>
      <c r="E16" s="1"/>
      <c r="F16" s="22">
        <v>0</v>
      </c>
      <c r="G16" s="23">
        <f t="shared" si="0"/>
        <v>0</v>
      </c>
    </row>
    <row r="17" spans="1:7" x14ac:dyDescent="0.25">
      <c r="A17" s="15">
        <v>16</v>
      </c>
      <c r="B17" s="3" t="s">
        <v>17</v>
      </c>
      <c r="C17" s="28">
        <v>50</v>
      </c>
      <c r="D17" s="26" t="s">
        <v>1</v>
      </c>
      <c r="E17" s="1"/>
      <c r="F17" s="22">
        <v>0</v>
      </c>
      <c r="G17" s="23">
        <f t="shared" si="0"/>
        <v>0</v>
      </c>
    </row>
    <row r="18" spans="1:7" x14ac:dyDescent="0.25">
      <c r="A18" s="15">
        <v>17</v>
      </c>
      <c r="B18" s="3" t="s">
        <v>18</v>
      </c>
      <c r="C18" s="28">
        <v>1248</v>
      </c>
      <c r="D18" s="26" t="s">
        <v>1</v>
      </c>
      <c r="E18" s="1"/>
      <c r="F18" s="22">
        <v>0</v>
      </c>
      <c r="G18" s="23">
        <f t="shared" si="0"/>
        <v>0</v>
      </c>
    </row>
    <row r="19" spans="1:7" x14ac:dyDescent="0.25">
      <c r="A19" s="15">
        <v>18</v>
      </c>
      <c r="B19" s="3" t="s">
        <v>19</v>
      </c>
      <c r="C19" s="28">
        <v>500</v>
      </c>
      <c r="D19" s="26" t="s">
        <v>20</v>
      </c>
      <c r="E19" s="1"/>
      <c r="F19" s="22">
        <v>0</v>
      </c>
      <c r="G19" s="23">
        <f t="shared" si="0"/>
        <v>0</v>
      </c>
    </row>
    <row r="20" spans="1:7" x14ac:dyDescent="0.25">
      <c r="A20" s="15">
        <v>19</v>
      </c>
      <c r="B20" s="3" t="s">
        <v>21</v>
      </c>
      <c r="C20" s="28">
        <v>450</v>
      </c>
      <c r="D20" s="26" t="s">
        <v>20</v>
      </c>
      <c r="E20" s="1"/>
      <c r="F20" s="22">
        <v>0</v>
      </c>
      <c r="G20" s="23">
        <f t="shared" si="0"/>
        <v>0</v>
      </c>
    </row>
    <row r="21" spans="1:7" x14ac:dyDescent="0.25">
      <c r="A21" s="15">
        <v>20</v>
      </c>
      <c r="B21" s="3" t="s">
        <v>22</v>
      </c>
      <c r="C21" s="28">
        <v>1000</v>
      </c>
      <c r="D21" s="26" t="s">
        <v>15</v>
      </c>
      <c r="E21" s="1"/>
      <c r="F21" s="22">
        <v>0</v>
      </c>
      <c r="G21" s="23">
        <f t="shared" si="0"/>
        <v>0</v>
      </c>
    </row>
    <row r="22" spans="1:7" x14ac:dyDescent="0.25">
      <c r="A22" s="15">
        <v>21</v>
      </c>
      <c r="B22" s="3" t="s">
        <v>23</v>
      </c>
      <c r="C22" s="28">
        <v>500</v>
      </c>
      <c r="D22" s="26" t="s">
        <v>20</v>
      </c>
      <c r="E22" s="1"/>
      <c r="F22" s="22">
        <v>0</v>
      </c>
      <c r="G22" s="23">
        <f t="shared" si="0"/>
        <v>0</v>
      </c>
    </row>
    <row r="23" spans="1:7" x14ac:dyDescent="0.25">
      <c r="A23" s="15">
        <v>22</v>
      </c>
      <c r="B23" s="3" t="s">
        <v>24</v>
      </c>
      <c r="C23" s="28">
        <v>10</v>
      </c>
      <c r="D23" s="26" t="s">
        <v>1</v>
      </c>
      <c r="E23" s="1"/>
      <c r="F23" s="22">
        <v>0</v>
      </c>
      <c r="G23" s="23">
        <f t="shared" si="0"/>
        <v>0</v>
      </c>
    </row>
    <row r="24" spans="1:7" x14ac:dyDescent="0.25">
      <c r="A24" s="16">
        <v>1</v>
      </c>
      <c r="B24" s="3" t="s">
        <v>25</v>
      </c>
      <c r="C24" s="28">
        <v>1</v>
      </c>
      <c r="D24" s="26" t="s">
        <v>20</v>
      </c>
      <c r="E24" s="1"/>
      <c r="F24" s="22">
        <v>0</v>
      </c>
      <c r="G24" s="23">
        <f t="shared" si="0"/>
        <v>0</v>
      </c>
    </row>
    <row r="25" spans="1:7" x14ac:dyDescent="0.25">
      <c r="A25" s="16">
        <v>2</v>
      </c>
      <c r="B25" s="3" t="s">
        <v>26</v>
      </c>
      <c r="C25" s="28">
        <v>1</v>
      </c>
      <c r="D25" s="26" t="s">
        <v>20</v>
      </c>
      <c r="E25" s="1"/>
      <c r="F25" s="22">
        <v>0</v>
      </c>
      <c r="G25" s="23">
        <f t="shared" si="0"/>
        <v>0</v>
      </c>
    </row>
    <row r="26" spans="1:7" x14ac:dyDescent="0.25">
      <c r="A26" s="16">
        <v>3</v>
      </c>
      <c r="B26" s="3" t="s">
        <v>27</v>
      </c>
      <c r="C26" s="28">
        <v>1</v>
      </c>
      <c r="D26" s="26" t="s">
        <v>20</v>
      </c>
      <c r="E26" s="1"/>
      <c r="F26" s="22">
        <v>0</v>
      </c>
      <c r="G26" s="23">
        <f t="shared" si="0"/>
        <v>0</v>
      </c>
    </row>
    <row r="27" spans="1:7" x14ac:dyDescent="0.25">
      <c r="A27" s="16">
        <v>4</v>
      </c>
      <c r="B27" s="3" t="s">
        <v>28</v>
      </c>
      <c r="C27" s="28">
        <v>82</v>
      </c>
      <c r="D27" s="26" t="s">
        <v>20</v>
      </c>
      <c r="E27" s="1"/>
      <c r="F27" s="22">
        <v>0</v>
      </c>
      <c r="G27" s="23">
        <f t="shared" si="0"/>
        <v>0</v>
      </c>
    </row>
    <row r="28" spans="1:7" x14ac:dyDescent="0.25">
      <c r="A28" s="16">
        <v>5</v>
      </c>
      <c r="B28" s="3" t="s">
        <v>29</v>
      </c>
      <c r="C28" s="28">
        <v>1</v>
      </c>
      <c r="D28" s="26" t="s">
        <v>20</v>
      </c>
      <c r="E28" s="1"/>
      <c r="F28" s="22">
        <v>0</v>
      </c>
      <c r="G28" s="23">
        <f t="shared" si="0"/>
        <v>0</v>
      </c>
    </row>
    <row r="29" spans="1:7" x14ac:dyDescent="0.25">
      <c r="A29" s="16">
        <v>6</v>
      </c>
      <c r="B29" s="3" t="s">
        <v>30</v>
      </c>
      <c r="C29" s="28">
        <v>3</v>
      </c>
      <c r="D29" s="26" t="s">
        <v>20</v>
      </c>
      <c r="E29" s="1"/>
      <c r="F29" s="22">
        <v>0</v>
      </c>
      <c r="G29" s="23">
        <f t="shared" si="0"/>
        <v>0</v>
      </c>
    </row>
    <row r="30" spans="1:7" x14ac:dyDescent="0.25">
      <c r="A30" s="16">
        <v>7</v>
      </c>
      <c r="B30" s="3" t="s">
        <v>31</v>
      </c>
      <c r="C30" s="28">
        <v>2</v>
      </c>
      <c r="D30" s="26" t="s">
        <v>20</v>
      </c>
      <c r="E30" s="1"/>
      <c r="F30" s="22">
        <v>0</v>
      </c>
      <c r="G30" s="23">
        <f t="shared" si="0"/>
        <v>0</v>
      </c>
    </row>
    <row r="31" spans="1:7" ht="25.5" x14ac:dyDescent="0.25">
      <c r="A31" s="16">
        <v>8</v>
      </c>
      <c r="B31" s="3" t="s">
        <v>32</v>
      </c>
      <c r="C31" s="28">
        <v>1</v>
      </c>
      <c r="D31" s="26" t="s">
        <v>20</v>
      </c>
      <c r="E31" s="1"/>
      <c r="F31" s="22">
        <v>0</v>
      </c>
      <c r="G31" s="23">
        <f t="shared" si="0"/>
        <v>0</v>
      </c>
    </row>
    <row r="32" spans="1:7" x14ac:dyDescent="0.25">
      <c r="A32" s="16">
        <v>9</v>
      </c>
      <c r="B32" s="3" t="s">
        <v>33</v>
      </c>
      <c r="C32" s="28">
        <v>1</v>
      </c>
      <c r="D32" s="26" t="s">
        <v>20</v>
      </c>
      <c r="E32" s="1"/>
      <c r="F32" s="22">
        <v>0</v>
      </c>
      <c r="G32" s="23">
        <f t="shared" si="0"/>
        <v>0</v>
      </c>
    </row>
    <row r="33" spans="1:7" x14ac:dyDescent="0.25">
      <c r="A33" s="16">
        <v>10</v>
      </c>
      <c r="B33" s="3" t="s">
        <v>34</v>
      </c>
      <c r="C33" s="28">
        <v>765</v>
      </c>
      <c r="D33" s="26" t="s">
        <v>1</v>
      </c>
      <c r="E33" s="1"/>
      <c r="F33" s="22">
        <v>0</v>
      </c>
      <c r="G33" s="23">
        <f t="shared" si="0"/>
        <v>0</v>
      </c>
    </row>
    <row r="34" spans="1:7" x14ac:dyDescent="0.25">
      <c r="A34" s="16">
        <v>11</v>
      </c>
      <c r="B34" s="4" t="s">
        <v>35</v>
      </c>
      <c r="C34" s="28">
        <v>2</v>
      </c>
      <c r="D34" s="26" t="s">
        <v>1</v>
      </c>
      <c r="E34" s="1"/>
      <c r="F34" s="22">
        <v>0</v>
      </c>
      <c r="G34" s="23">
        <f t="shared" si="0"/>
        <v>0</v>
      </c>
    </row>
    <row r="35" spans="1:7" x14ac:dyDescent="0.25">
      <c r="A35" s="16">
        <v>12</v>
      </c>
      <c r="B35" s="3" t="s">
        <v>36</v>
      </c>
      <c r="C35" s="28">
        <v>400</v>
      </c>
      <c r="D35" s="26" t="s">
        <v>1</v>
      </c>
      <c r="E35" s="1"/>
      <c r="F35" s="22">
        <v>0</v>
      </c>
      <c r="G35" s="23">
        <f t="shared" si="0"/>
        <v>0</v>
      </c>
    </row>
    <row r="36" spans="1:7" x14ac:dyDescent="0.25">
      <c r="A36" s="16">
        <v>13</v>
      </c>
      <c r="B36" s="3" t="s">
        <v>22</v>
      </c>
      <c r="C36" s="28">
        <v>500</v>
      </c>
      <c r="D36" s="26" t="s">
        <v>20</v>
      </c>
      <c r="E36" s="1"/>
      <c r="F36" s="22">
        <v>0</v>
      </c>
      <c r="G36" s="23">
        <f t="shared" si="0"/>
        <v>0</v>
      </c>
    </row>
    <row r="37" spans="1:7" x14ac:dyDescent="0.25">
      <c r="A37" s="17">
        <v>1</v>
      </c>
      <c r="B37" s="3" t="s">
        <v>37</v>
      </c>
      <c r="C37" s="28">
        <v>1</v>
      </c>
      <c r="D37" s="26" t="s">
        <v>20</v>
      </c>
      <c r="E37" s="1"/>
      <c r="F37" s="22"/>
      <c r="G37" s="23"/>
    </row>
    <row r="38" spans="1:7" x14ac:dyDescent="0.25">
      <c r="A38" s="17">
        <v>2</v>
      </c>
      <c r="B38" s="3" t="s">
        <v>38</v>
      </c>
      <c r="C38" s="28">
        <v>2</v>
      </c>
      <c r="D38" s="26" t="s">
        <v>20</v>
      </c>
      <c r="E38" s="1"/>
      <c r="F38" s="22">
        <v>0</v>
      </c>
      <c r="G38" s="23">
        <f t="shared" si="0"/>
        <v>0</v>
      </c>
    </row>
    <row r="39" spans="1:7" ht="25.5" x14ac:dyDescent="0.25">
      <c r="A39" s="17">
        <v>3</v>
      </c>
      <c r="B39" s="4" t="s">
        <v>39</v>
      </c>
      <c r="C39" s="28">
        <v>2</v>
      </c>
      <c r="D39" s="26" t="s">
        <v>20</v>
      </c>
      <c r="E39" s="1"/>
      <c r="F39" s="22">
        <v>0</v>
      </c>
      <c r="G39" s="23">
        <f t="shared" si="0"/>
        <v>0</v>
      </c>
    </row>
    <row r="40" spans="1:7" x14ac:dyDescent="0.25">
      <c r="A40" s="17">
        <v>4</v>
      </c>
      <c r="B40" s="3" t="s">
        <v>40</v>
      </c>
      <c r="C40" s="28">
        <v>2</v>
      </c>
      <c r="D40" s="26" t="s">
        <v>20</v>
      </c>
      <c r="E40" s="2"/>
      <c r="F40" s="22">
        <v>0</v>
      </c>
      <c r="G40" s="23">
        <f t="shared" si="0"/>
        <v>0</v>
      </c>
    </row>
    <row r="41" spans="1:7" x14ac:dyDescent="0.25">
      <c r="A41" s="17">
        <v>5</v>
      </c>
      <c r="B41" s="3" t="s">
        <v>41</v>
      </c>
      <c r="C41" s="28">
        <v>300</v>
      </c>
      <c r="D41" s="26" t="s">
        <v>1</v>
      </c>
      <c r="E41" s="1"/>
      <c r="F41" s="22">
        <v>0</v>
      </c>
      <c r="G41" s="23">
        <f t="shared" si="0"/>
        <v>0</v>
      </c>
    </row>
    <row r="42" spans="1:7" x14ac:dyDescent="0.25">
      <c r="A42" s="17">
        <v>6</v>
      </c>
      <c r="B42" s="3" t="s">
        <v>42</v>
      </c>
      <c r="C42" s="28">
        <v>50</v>
      </c>
      <c r="D42" s="26" t="s">
        <v>1</v>
      </c>
      <c r="E42" s="1"/>
      <c r="F42" s="22">
        <v>0</v>
      </c>
      <c r="G42" s="23">
        <f t="shared" si="0"/>
        <v>0</v>
      </c>
    </row>
    <row r="43" spans="1:7" x14ac:dyDescent="0.25">
      <c r="A43" s="17">
        <v>7</v>
      </c>
      <c r="B43" s="3" t="s">
        <v>22</v>
      </c>
      <c r="C43" s="28">
        <v>500</v>
      </c>
      <c r="D43" s="26" t="s">
        <v>20</v>
      </c>
      <c r="E43" s="1"/>
      <c r="F43" s="22">
        <v>0</v>
      </c>
      <c r="G43" s="23">
        <f t="shared" si="0"/>
        <v>0</v>
      </c>
    </row>
    <row r="44" spans="1:7" ht="45" x14ac:dyDescent="0.25">
      <c r="A44" s="18">
        <v>1</v>
      </c>
      <c r="B44" s="3" t="s">
        <v>43</v>
      </c>
      <c r="C44" s="28">
        <v>518</v>
      </c>
      <c r="D44" s="26" t="s">
        <v>1</v>
      </c>
      <c r="E44" s="2" t="s">
        <v>115</v>
      </c>
      <c r="F44" s="22">
        <v>1.02</v>
      </c>
      <c r="G44" s="23">
        <f t="shared" si="0"/>
        <v>528.36</v>
      </c>
    </row>
    <row r="45" spans="1:7" x14ac:dyDescent="0.25">
      <c r="A45" s="18">
        <v>2</v>
      </c>
      <c r="B45" s="3" t="s">
        <v>44</v>
      </c>
      <c r="C45" s="28">
        <v>1</v>
      </c>
      <c r="D45" s="26" t="s">
        <v>20</v>
      </c>
      <c r="E45" s="1"/>
      <c r="F45" s="22">
        <v>0</v>
      </c>
      <c r="G45" s="23">
        <f t="shared" si="0"/>
        <v>0</v>
      </c>
    </row>
    <row r="46" spans="1:7" ht="30" x14ac:dyDescent="0.25">
      <c r="A46" s="18">
        <v>3</v>
      </c>
      <c r="B46" s="3" t="s">
        <v>45</v>
      </c>
      <c r="C46" s="28">
        <v>1</v>
      </c>
      <c r="D46" s="26" t="s">
        <v>20</v>
      </c>
      <c r="E46" s="2" t="s">
        <v>116</v>
      </c>
      <c r="F46" s="22">
        <v>30.31</v>
      </c>
      <c r="G46" s="23">
        <f t="shared" si="0"/>
        <v>30.31</v>
      </c>
    </row>
    <row r="47" spans="1:7" ht="30" x14ac:dyDescent="0.25">
      <c r="A47" s="18">
        <v>4</v>
      </c>
      <c r="B47" s="3" t="s">
        <v>46</v>
      </c>
      <c r="C47" s="28">
        <v>14</v>
      </c>
      <c r="D47" s="26" t="s">
        <v>20</v>
      </c>
      <c r="E47" s="2" t="s">
        <v>117</v>
      </c>
      <c r="F47" s="22">
        <v>119.01</v>
      </c>
      <c r="G47" s="23">
        <f t="shared" si="0"/>
        <v>1666.14</v>
      </c>
    </row>
    <row r="48" spans="1:7" ht="60" x14ac:dyDescent="0.25">
      <c r="A48" s="18">
        <v>5</v>
      </c>
      <c r="B48" s="3" t="s">
        <v>47</v>
      </c>
      <c r="C48" s="28">
        <v>3060</v>
      </c>
      <c r="D48" s="26" t="s">
        <v>1</v>
      </c>
      <c r="E48" s="2" t="s">
        <v>118</v>
      </c>
      <c r="F48" s="22">
        <v>0.54</v>
      </c>
      <c r="G48" s="23">
        <f t="shared" si="0"/>
        <v>1652.4</v>
      </c>
    </row>
    <row r="49" spans="1:7" ht="30" x14ac:dyDescent="0.25">
      <c r="A49" s="18">
        <v>6</v>
      </c>
      <c r="B49" s="3" t="s">
        <v>48</v>
      </c>
      <c r="C49" s="28">
        <v>2</v>
      </c>
      <c r="D49" s="26" t="s">
        <v>20</v>
      </c>
      <c r="E49" s="2" t="s">
        <v>119</v>
      </c>
      <c r="F49" s="22">
        <v>45.5</v>
      </c>
      <c r="G49" s="23">
        <f t="shared" si="0"/>
        <v>91</v>
      </c>
    </row>
    <row r="50" spans="1:7" x14ac:dyDescent="0.25">
      <c r="A50" s="18">
        <v>7</v>
      </c>
      <c r="B50" s="3" t="s">
        <v>49</v>
      </c>
      <c r="C50" s="28">
        <v>1</v>
      </c>
      <c r="D50" s="26" t="s">
        <v>20</v>
      </c>
      <c r="E50" s="1"/>
      <c r="F50" s="22">
        <v>0</v>
      </c>
      <c r="G50" s="23">
        <f t="shared" si="0"/>
        <v>0</v>
      </c>
    </row>
    <row r="51" spans="1:7" x14ac:dyDescent="0.25">
      <c r="A51" s="18">
        <v>8</v>
      </c>
      <c r="B51" s="3" t="s">
        <v>50</v>
      </c>
      <c r="C51" s="28">
        <v>3</v>
      </c>
      <c r="D51" s="26" t="s">
        <v>20</v>
      </c>
      <c r="E51" s="2" t="s">
        <v>120</v>
      </c>
      <c r="F51" s="22">
        <v>7</v>
      </c>
      <c r="G51" s="23">
        <f t="shared" si="0"/>
        <v>21</v>
      </c>
    </row>
    <row r="52" spans="1:7" ht="30" x14ac:dyDescent="0.25">
      <c r="A52" s="18">
        <v>9</v>
      </c>
      <c r="B52" s="3" t="s">
        <v>51</v>
      </c>
      <c r="C52" s="28">
        <v>5</v>
      </c>
      <c r="D52" s="26" t="s">
        <v>20</v>
      </c>
      <c r="E52" s="2" t="s">
        <v>121</v>
      </c>
      <c r="F52" s="22">
        <v>51.09</v>
      </c>
      <c r="G52" s="23">
        <f t="shared" si="0"/>
        <v>255.45000000000002</v>
      </c>
    </row>
    <row r="53" spans="1:7" x14ac:dyDescent="0.25">
      <c r="A53" s="18">
        <v>10</v>
      </c>
      <c r="B53" s="3" t="s">
        <v>52</v>
      </c>
      <c r="C53" s="28">
        <v>2</v>
      </c>
      <c r="D53" s="26" t="s">
        <v>20</v>
      </c>
      <c r="E53" s="1"/>
      <c r="F53" s="22">
        <v>0</v>
      </c>
      <c r="G53" s="23">
        <f t="shared" si="0"/>
        <v>0</v>
      </c>
    </row>
    <row r="54" spans="1:7" x14ac:dyDescent="0.25">
      <c r="A54" s="18">
        <v>11</v>
      </c>
      <c r="B54" s="4" t="s">
        <v>53</v>
      </c>
      <c r="C54" s="28">
        <v>80</v>
      </c>
      <c r="D54" s="26" t="s">
        <v>20</v>
      </c>
      <c r="E54" s="1" t="s">
        <v>122</v>
      </c>
      <c r="F54" s="22">
        <v>1.29</v>
      </c>
      <c r="G54" s="23">
        <f t="shared" si="0"/>
        <v>103.2</v>
      </c>
    </row>
    <row r="55" spans="1:7" x14ac:dyDescent="0.25">
      <c r="A55" s="18">
        <v>12</v>
      </c>
      <c r="B55" s="3" t="s">
        <v>54</v>
      </c>
      <c r="C55" s="28">
        <v>40</v>
      </c>
      <c r="D55" s="26" t="s">
        <v>20</v>
      </c>
      <c r="E55" s="1" t="s">
        <v>123</v>
      </c>
      <c r="F55" s="22">
        <v>1.6</v>
      </c>
      <c r="G55" s="23">
        <f t="shared" si="0"/>
        <v>64</v>
      </c>
    </row>
    <row r="56" spans="1:7" x14ac:dyDescent="0.25">
      <c r="A56" s="18">
        <v>13</v>
      </c>
      <c r="B56" s="3" t="s">
        <v>55</v>
      </c>
      <c r="C56" s="28">
        <v>50</v>
      </c>
      <c r="D56" s="26" t="s">
        <v>20</v>
      </c>
      <c r="E56" s="1" t="s">
        <v>124</v>
      </c>
      <c r="F56" s="22">
        <v>1.96</v>
      </c>
      <c r="G56" s="23">
        <f t="shared" si="0"/>
        <v>98</v>
      </c>
    </row>
    <row r="57" spans="1:7" x14ac:dyDescent="0.25">
      <c r="A57" s="18">
        <v>14</v>
      </c>
      <c r="B57" s="3" t="s">
        <v>56</v>
      </c>
      <c r="C57" s="28">
        <v>54</v>
      </c>
      <c r="D57" s="26" t="s">
        <v>20</v>
      </c>
      <c r="E57" s="1"/>
      <c r="F57" s="22">
        <v>0</v>
      </c>
      <c r="G57" s="23">
        <f t="shared" si="0"/>
        <v>0</v>
      </c>
    </row>
    <row r="58" spans="1:7" x14ac:dyDescent="0.25">
      <c r="A58" s="18">
        <v>15</v>
      </c>
      <c r="B58" s="3" t="s">
        <v>57</v>
      </c>
      <c r="C58" s="28">
        <v>150</v>
      </c>
      <c r="D58" s="26" t="s">
        <v>1</v>
      </c>
      <c r="E58" s="1"/>
      <c r="F58" s="22">
        <v>0</v>
      </c>
      <c r="G58" s="23">
        <f t="shared" si="0"/>
        <v>0</v>
      </c>
    </row>
    <row r="59" spans="1:7" x14ac:dyDescent="0.25">
      <c r="A59" s="18">
        <v>16</v>
      </c>
      <c r="B59" s="4" t="s">
        <v>58</v>
      </c>
      <c r="C59" s="28">
        <v>150</v>
      </c>
      <c r="D59" s="26" t="s">
        <v>1</v>
      </c>
      <c r="E59" s="1"/>
      <c r="F59" s="22">
        <v>0</v>
      </c>
      <c r="G59" s="23">
        <f t="shared" si="0"/>
        <v>0</v>
      </c>
    </row>
    <row r="60" spans="1:7" x14ac:dyDescent="0.25">
      <c r="A60" s="18">
        <v>17</v>
      </c>
      <c r="B60" s="4" t="s">
        <v>59</v>
      </c>
      <c r="C60" s="28">
        <v>1500</v>
      </c>
      <c r="D60" s="26" t="s">
        <v>20</v>
      </c>
      <c r="E60" s="1"/>
      <c r="F60" s="22">
        <v>0</v>
      </c>
      <c r="G60" s="23">
        <f t="shared" si="0"/>
        <v>0</v>
      </c>
    </row>
    <row r="61" spans="1:7" x14ac:dyDescent="0.25">
      <c r="A61" s="18">
        <v>18</v>
      </c>
      <c r="B61" s="4" t="s">
        <v>60</v>
      </c>
      <c r="C61" s="28">
        <v>30</v>
      </c>
      <c r="D61" s="26" t="s">
        <v>1</v>
      </c>
      <c r="E61" s="1"/>
      <c r="F61" s="22">
        <v>0</v>
      </c>
      <c r="G61" s="23">
        <f t="shared" si="0"/>
        <v>0</v>
      </c>
    </row>
    <row r="62" spans="1:7" x14ac:dyDescent="0.25">
      <c r="A62" s="18">
        <v>19</v>
      </c>
      <c r="B62" s="4" t="s">
        <v>61</v>
      </c>
      <c r="C62" s="28">
        <v>50</v>
      </c>
      <c r="D62" s="26" t="s">
        <v>1</v>
      </c>
      <c r="E62" s="1"/>
      <c r="F62" s="22">
        <v>0</v>
      </c>
      <c r="G62" s="23">
        <f t="shared" si="0"/>
        <v>0</v>
      </c>
    </row>
    <row r="63" spans="1:7" x14ac:dyDescent="0.25">
      <c r="A63" s="18">
        <v>20</v>
      </c>
      <c r="B63" s="4" t="s">
        <v>62</v>
      </c>
      <c r="C63" s="28">
        <v>2</v>
      </c>
      <c r="D63" s="26" t="s">
        <v>15</v>
      </c>
      <c r="E63" s="1"/>
      <c r="F63" s="22">
        <v>0</v>
      </c>
      <c r="G63" s="23">
        <f t="shared" si="0"/>
        <v>0</v>
      </c>
    </row>
    <row r="64" spans="1:7" x14ac:dyDescent="0.25">
      <c r="A64" s="18">
        <v>21</v>
      </c>
      <c r="B64" s="4" t="s">
        <v>63</v>
      </c>
      <c r="C64" s="28">
        <v>4</v>
      </c>
      <c r="D64" s="26" t="s">
        <v>20</v>
      </c>
      <c r="E64" s="1"/>
      <c r="F64" s="22">
        <v>0</v>
      </c>
      <c r="G64" s="23">
        <f t="shared" si="0"/>
        <v>0</v>
      </c>
    </row>
    <row r="65" spans="1:7" x14ac:dyDescent="0.25">
      <c r="A65" s="18">
        <v>22</v>
      </c>
      <c r="B65" s="4" t="s">
        <v>64</v>
      </c>
      <c r="C65" s="28">
        <v>1</v>
      </c>
      <c r="D65" s="26" t="s">
        <v>20</v>
      </c>
      <c r="E65" s="1"/>
      <c r="F65" s="22">
        <v>0</v>
      </c>
      <c r="G65" s="23">
        <f t="shared" si="0"/>
        <v>0</v>
      </c>
    </row>
    <row r="66" spans="1:7" x14ac:dyDescent="0.25">
      <c r="A66" s="18">
        <v>23</v>
      </c>
      <c r="B66" s="4" t="s">
        <v>65</v>
      </c>
      <c r="C66" s="28">
        <v>1</v>
      </c>
      <c r="D66" s="26" t="s">
        <v>20</v>
      </c>
      <c r="E66" s="1"/>
      <c r="F66" s="22">
        <v>0</v>
      </c>
      <c r="G66" s="23">
        <f t="shared" si="0"/>
        <v>0</v>
      </c>
    </row>
    <row r="67" spans="1:7" x14ac:dyDescent="0.25">
      <c r="A67" s="18">
        <v>24</v>
      </c>
      <c r="B67" s="4" t="s">
        <v>66</v>
      </c>
      <c r="C67" s="28">
        <v>1</v>
      </c>
      <c r="D67" s="26" t="s">
        <v>20</v>
      </c>
      <c r="E67" s="1"/>
      <c r="F67" s="22">
        <v>0</v>
      </c>
      <c r="G67" s="23">
        <f t="shared" si="0"/>
        <v>0</v>
      </c>
    </row>
    <row r="68" spans="1:7" x14ac:dyDescent="0.25">
      <c r="A68" s="18">
        <v>25</v>
      </c>
      <c r="B68" s="4" t="s">
        <v>67</v>
      </c>
      <c r="C68" s="28">
        <v>2</v>
      </c>
      <c r="D68" s="26" t="s">
        <v>20</v>
      </c>
      <c r="E68" s="1"/>
      <c r="F68" s="22">
        <v>0</v>
      </c>
      <c r="G68" s="23">
        <f t="shared" ref="G68:G107" si="1">SUM(F68*C68)</f>
        <v>0</v>
      </c>
    </row>
    <row r="69" spans="1:7" ht="30" x14ac:dyDescent="0.25">
      <c r="A69" s="18">
        <v>26</v>
      </c>
      <c r="B69" s="4" t="s">
        <v>68</v>
      </c>
      <c r="C69" s="28">
        <v>2</v>
      </c>
      <c r="D69" s="26" t="s">
        <v>20</v>
      </c>
      <c r="E69" s="2" t="s">
        <v>125</v>
      </c>
      <c r="F69" s="22">
        <v>1.72</v>
      </c>
      <c r="G69" s="23">
        <f t="shared" si="1"/>
        <v>3.44</v>
      </c>
    </row>
    <row r="70" spans="1:7" x14ac:dyDescent="0.25">
      <c r="A70" s="18">
        <v>27</v>
      </c>
      <c r="B70" s="4" t="s">
        <v>22</v>
      </c>
      <c r="C70" s="28">
        <v>500</v>
      </c>
      <c r="D70" s="26" t="s">
        <v>20</v>
      </c>
      <c r="E70" s="1"/>
      <c r="F70" s="22">
        <v>0</v>
      </c>
      <c r="G70" s="23">
        <f t="shared" si="1"/>
        <v>0</v>
      </c>
    </row>
    <row r="71" spans="1:7" x14ac:dyDescent="0.25">
      <c r="A71" s="18">
        <v>28</v>
      </c>
      <c r="B71" s="4" t="s">
        <v>69</v>
      </c>
      <c r="C71" s="28">
        <v>6</v>
      </c>
      <c r="D71" s="26" t="s">
        <v>1</v>
      </c>
      <c r="E71" s="1"/>
      <c r="F71" s="22">
        <v>0</v>
      </c>
      <c r="G71" s="23">
        <f t="shared" si="1"/>
        <v>0</v>
      </c>
    </row>
    <row r="72" spans="1:7" ht="114.75" x14ac:dyDescent="0.25">
      <c r="A72" s="19">
        <v>1</v>
      </c>
      <c r="B72" s="3" t="s">
        <v>70</v>
      </c>
      <c r="C72" s="28">
        <v>1</v>
      </c>
      <c r="D72" s="26" t="s">
        <v>15</v>
      </c>
      <c r="E72" s="1"/>
      <c r="F72" s="22">
        <v>0</v>
      </c>
      <c r="G72" s="23">
        <f t="shared" si="1"/>
        <v>0</v>
      </c>
    </row>
    <row r="73" spans="1:7" ht="140.25" x14ac:dyDescent="0.25">
      <c r="A73" s="19">
        <v>2</v>
      </c>
      <c r="B73" s="3" t="s">
        <v>71</v>
      </c>
      <c r="C73" s="28">
        <v>1</v>
      </c>
      <c r="D73" s="26" t="s">
        <v>15</v>
      </c>
      <c r="E73" s="1"/>
      <c r="F73" s="22">
        <v>0</v>
      </c>
      <c r="G73" s="23">
        <f t="shared" si="1"/>
        <v>0</v>
      </c>
    </row>
    <row r="74" spans="1:7" ht="114.75" x14ac:dyDescent="0.25">
      <c r="A74" s="19">
        <v>3</v>
      </c>
      <c r="B74" s="3" t="s">
        <v>72</v>
      </c>
      <c r="C74" s="28">
        <v>1</v>
      </c>
      <c r="D74" s="26" t="s">
        <v>15</v>
      </c>
      <c r="E74" s="1"/>
      <c r="F74" s="22">
        <v>0</v>
      </c>
      <c r="G74" s="23">
        <f t="shared" si="1"/>
        <v>0</v>
      </c>
    </row>
    <row r="75" spans="1:7" ht="178.5" x14ac:dyDescent="0.25">
      <c r="A75" s="19">
        <v>4</v>
      </c>
      <c r="B75" s="3" t="s">
        <v>73</v>
      </c>
      <c r="C75" s="28">
        <v>1</v>
      </c>
      <c r="D75" s="26" t="s">
        <v>15</v>
      </c>
      <c r="E75" s="1"/>
      <c r="F75" s="22">
        <v>0</v>
      </c>
      <c r="G75" s="23">
        <f t="shared" si="1"/>
        <v>0</v>
      </c>
    </row>
    <row r="76" spans="1:7" ht="178.5" x14ac:dyDescent="0.25">
      <c r="A76" s="19">
        <v>5</v>
      </c>
      <c r="B76" s="3" t="s">
        <v>74</v>
      </c>
      <c r="C76" s="28">
        <v>1</v>
      </c>
      <c r="D76" s="26" t="s">
        <v>15</v>
      </c>
      <c r="E76" s="1"/>
      <c r="F76" s="22">
        <v>0</v>
      </c>
      <c r="G76" s="23">
        <f t="shared" si="1"/>
        <v>0</v>
      </c>
    </row>
    <row r="77" spans="1:7" ht="178.5" x14ac:dyDescent="0.25">
      <c r="A77" s="19">
        <v>6</v>
      </c>
      <c r="B77" s="3" t="s">
        <v>75</v>
      </c>
      <c r="C77" s="28">
        <v>1</v>
      </c>
      <c r="D77" s="26" t="s">
        <v>15</v>
      </c>
      <c r="E77" s="1"/>
      <c r="F77" s="22">
        <v>0</v>
      </c>
      <c r="G77" s="23">
        <f t="shared" si="1"/>
        <v>0</v>
      </c>
    </row>
    <row r="78" spans="1:7" ht="178.5" x14ac:dyDescent="0.25">
      <c r="A78" s="19">
        <v>7</v>
      </c>
      <c r="B78" s="3" t="s">
        <v>76</v>
      </c>
      <c r="C78" s="28">
        <v>1</v>
      </c>
      <c r="D78" s="26" t="s">
        <v>15</v>
      </c>
      <c r="E78" s="1"/>
      <c r="F78" s="22">
        <v>0</v>
      </c>
      <c r="G78" s="23">
        <f t="shared" si="1"/>
        <v>0</v>
      </c>
    </row>
    <row r="79" spans="1:7" s="21" customFormat="1" ht="25.5" x14ac:dyDescent="0.25">
      <c r="A79" s="20">
        <v>8</v>
      </c>
      <c r="B79" s="3" t="s">
        <v>77</v>
      </c>
      <c r="C79" s="29">
        <v>39</v>
      </c>
      <c r="D79" s="27" t="s">
        <v>20</v>
      </c>
      <c r="E79" s="2"/>
      <c r="F79" s="22">
        <v>0</v>
      </c>
      <c r="G79" s="23">
        <f t="shared" si="1"/>
        <v>0</v>
      </c>
    </row>
    <row r="80" spans="1:7" s="21" customFormat="1" ht="25.5" x14ac:dyDescent="0.25">
      <c r="A80" s="20">
        <v>9</v>
      </c>
      <c r="B80" s="3" t="s">
        <v>78</v>
      </c>
      <c r="C80" s="29">
        <v>77</v>
      </c>
      <c r="D80" s="27" t="s">
        <v>20</v>
      </c>
      <c r="E80" s="2"/>
      <c r="F80" s="22">
        <v>0</v>
      </c>
      <c r="G80" s="23">
        <f t="shared" si="1"/>
        <v>0</v>
      </c>
    </row>
    <row r="81" spans="1:7" s="21" customFormat="1" ht="25.5" x14ac:dyDescent="0.25">
      <c r="A81" s="20">
        <v>10</v>
      </c>
      <c r="B81" s="3" t="s">
        <v>79</v>
      </c>
      <c r="C81" s="29">
        <v>19</v>
      </c>
      <c r="D81" s="27" t="s">
        <v>20</v>
      </c>
      <c r="E81" s="2"/>
      <c r="F81" s="22">
        <v>0</v>
      </c>
      <c r="G81" s="23">
        <f t="shared" si="1"/>
        <v>0</v>
      </c>
    </row>
    <row r="82" spans="1:7" s="21" customFormat="1" ht="25.5" x14ac:dyDescent="0.25">
      <c r="A82" s="20">
        <v>11</v>
      </c>
      <c r="B82" s="3" t="s">
        <v>80</v>
      </c>
      <c r="C82" s="29">
        <v>9</v>
      </c>
      <c r="D82" s="27" t="s">
        <v>20</v>
      </c>
      <c r="E82" s="2"/>
      <c r="F82" s="22">
        <v>0</v>
      </c>
      <c r="G82" s="23">
        <f t="shared" si="1"/>
        <v>0</v>
      </c>
    </row>
    <row r="83" spans="1:7" s="21" customFormat="1" ht="25.5" x14ac:dyDescent="0.25">
      <c r="A83" s="20">
        <v>12</v>
      </c>
      <c r="B83" s="3" t="s">
        <v>81</v>
      </c>
      <c r="C83" s="29">
        <v>2</v>
      </c>
      <c r="D83" s="27" t="s">
        <v>20</v>
      </c>
      <c r="E83" s="2"/>
      <c r="F83" s="22">
        <v>0</v>
      </c>
      <c r="G83" s="23">
        <f t="shared" si="1"/>
        <v>0</v>
      </c>
    </row>
    <row r="84" spans="1:7" s="21" customFormat="1" ht="25.5" x14ac:dyDescent="0.25">
      <c r="A84" s="20">
        <v>13</v>
      </c>
      <c r="B84" s="3" t="s">
        <v>82</v>
      </c>
      <c r="C84" s="29">
        <v>13</v>
      </c>
      <c r="D84" s="27" t="s">
        <v>20</v>
      </c>
      <c r="E84" s="2"/>
      <c r="F84" s="22">
        <v>0</v>
      </c>
      <c r="G84" s="23">
        <f t="shared" si="1"/>
        <v>0</v>
      </c>
    </row>
    <row r="85" spans="1:7" s="21" customFormat="1" ht="25.5" x14ac:dyDescent="0.25">
      <c r="A85" s="20">
        <v>14</v>
      </c>
      <c r="B85" s="3" t="s">
        <v>83</v>
      </c>
      <c r="C85" s="29">
        <v>12</v>
      </c>
      <c r="D85" s="27" t="s">
        <v>20</v>
      </c>
      <c r="E85" s="2"/>
      <c r="F85" s="22">
        <v>0</v>
      </c>
      <c r="G85" s="23">
        <f t="shared" si="1"/>
        <v>0</v>
      </c>
    </row>
    <row r="86" spans="1:7" s="21" customFormat="1" ht="25.5" x14ac:dyDescent="0.25">
      <c r="A86" s="20">
        <v>15</v>
      </c>
      <c r="B86" s="3" t="s">
        <v>84</v>
      </c>
      <c r="C86" s="29">
        <v>60</v>
      </c>
      <c r="D86" s="27" t="s">
        <v>20</v>
      </c>
      <c r="E86" s="2"/>
      <c r="F86" s="22">
        <v>0</v>
      </c>
      <c r="G86" s="23">
        <f t="shared" si="1"/>
        <v>0</v>
      </c>
    </row>
    <row r="87" spans="1:7" s="21" customFormat="1" ht="25.5" x14ac:dyDescent="0.25">
      <c r="A87" s="20">
        <v>16</v>
      </c>
      <c r="B87" s="3" t="s">
        <v>85</v>
      </c>
      <c r="C87" s="29">
        <v>102</v>
      </c>
      <c r="D87" s="27" t="s">
        <v>20</v>
      </c>
      <c r="E87" s="2"/>
      <c r="F87" s="22">
        <v>0</v>
      </c>
      <c r="G87" s="23">
        <f t="shared" si="1"/>
        <v>0</v>
      </c>
    </row>
    <row r="88" spans="1:7" s="21" customFormat="1" ht="25.5" x14ac:dyDescent="0.25">
      <c r="A88" s="20">
        <v>17</v>
      </c>
      <c r="B88" s="3" t="s">
        <v>86</v>
      </c>
      <c r="C88" s="29">
        <v>25</v>
      </c>
      <c r="D88" s="27" t="s">
        <v>20</v>
      </c>
      <c r="E88" s="2"/>
      <c r="F88" s="22">
        <v>0</v>
      </c>
      <c r="G88" s="23">
        <f t="shared" si="1"/>
        <v>0</v>
      </c>
    </row>
    <row r="89" spans="1:7" s="21" customFormat="1" ht="25.5" x14ac:dyDescent="0.25">
      <c r="A89" s="20">
        <v>18</v>
      </c>
      <c r="B89" s="3" t="s">
        <v>87</v>
      </c>
      <c r="C89" s="29">
        <v>90</v>
      </c>
      <c r="D89" s="27" t="s">
        <v>20</v>
      </c>
      <c r="E89" s="2"/>
      <c r="F89" s="22">
        <v>0</v>
      </c>
      <c r="G89" s="23">
        <f t="shared" si="1"/>
        <v>0</v>
      </c>
    </row>
    <row r="90" spans="1:7" s="21" customFormat="1" ht="25.5" x14ac:dyDescent="0.25">
      <c r="A90" s="20">
        <v>19</v>
      </c>
      <c r="B90" s="3" t="s">
        <v>88</v>
      </c>
      <c r="C90" s="29">
        <v>47</v>
      </c>
      <c r="D90" s="27" t="s">
        <v>20</v>
      </c>
      <c r="E90" s="2"/>
      <c r="F90" s="22">
        <v>0</v>
      </c>
      <c r="G90" s="23">
        <f t="shared" si="1"/>
        <v>0</v>
      </c>
    </row>
    <row r="91" spans="1:7" x14ac:dyDescent="0.25">
      <c r="A91" s="19">
        <v>20</v>
      </c>
      <c r="B91" s="3" t="s">
        <v>89</v>
      </c>
      <c r="C91" s="28">
        <v>3</v>
      </c>
      <c r="D91" s="26" t="s">
        <v>20</v>
      </c>
      <c r="E91" s="1"/>
      <c r="F91" s="22">
        <v>0</v>
      </c>
      <c r="G91" s="23">
        <f t="shared" si="1"/>
        <v>0</v>
      </c>
    </row>
    <row r="92" spans="1:7" x14ac:dyDescent="0.25">
      <c r="A92" s="19">
        <v>21</v>
      </c>
      <c r="B92" s="3" t="s">
        <v>90</v>
      </c>
      <c r="C92" s="28">
        <v>6</v>
      </c>
      <c r="D92" s="26" t="s">
        <v>20</v>
      </c>
      <c r="E92" s="1"/>
      <c r="F92" s="22">
        <v>0</v>
      </c>
      <c r="G92" s="23">
        <f t="shared" si="1"/>
        <v>0</v>
      </c>
    </row>
    <row r="93" spans="1:7" x14ac:dyDescent="0.25">
      <c r="A93" s="19">
        <v>22</v>
      </c>
      <c r="B93" s="3" t="s">
        <v>91</v>
      </c>
      <c r="C93" s="28">
        <v>7</v>
      </c>
      <c r="D93" s="26" t="s">
        <v>20</v>
      </c>
      <c r="E93" s="1"/>
      <c r="F93" s="22">
        <v>0</v>
      </c>
      <c r="G93" s="23">
        <f t="shared" si="1"/>
        <v>0</v>
      </c>
    </row>
    <row r="94" spans="1:7" x14ac:dyDescent="0.25">
      <c r="A94" s="19">
        <v>23</v>
      </c>
      <c r="B94" s="3" t="s">
        <v>92</v>
      </c>
      <c r="C94" s="28">
        <v>3</v>
      </c>
      <c r="D94" s="26" t="s">
        <v>20</v>
      </c>
      <c r="E94" s="1"/>
      <c r="F94" s="22">
        <v>0</v>
      </c>
      <c r="G94" s="23">
        <f t="shared" si="1"/>
        <v>0</v>
      </c>
    </row>
    <row r="95" spans="1:7" x14ac:dyDescent="0.25">
      <c r="A95" s="19">
        <v>24</v>
      </c>
      <c r="B95" s="3" t="s">
        <v>93</v>
      </c>
      <c r="C95" s="28">
        <v>6</v>
      </c>
      <c r="D95" s="26" t="s">
        <v>20</v>
      </c>
      <c r="E95" s="1"/>
      <c r="F95" s="22">
        <v>0</v>
      </c>
      <c r="G95" s="23">
        <f t="shared" si="1"/>
        <v>0</v>
      </c>
    </row>
    <row r="96" spans="1:7" x14ac:dyDescent="0.25">
      <c r="A96" s="19">
        <v>25</v>
      </c>
      <c r="B96" s="3" t="s">
        <v>94</v>
      </c>
      <c r="C96" s="28">
        <v>2</v>
      </c>
      <c r="D96" s="26" t="s">
        <v>20</v>
      </c>
      <c r="E96" s="1"/>
      <c r="F96" s="22">
        <v>0</v>
      </c>
      <c r="G96" s="23">
        <f t="shared" si="1"/>
        <v>0</v>
      </c>
    </row>
    <row r="97" spans="1:7" x14ac:dyDescent="0.25">
      <c r="A97" s="19">
        <v>26</v>
      </c>
      <c r="B97" s="3" t="s">
        <v>95</v>
      </c>
      <c r="C97" s="28">
        <v>2</v>
      </c>
      <c r="D97" s="26" t="s">
        <v>20</v>
      </c>
      <c r="E97" s="1"/>
      <c r="F97" s="22">
        <v>0</v>
      </c>
      <c r="G97" s="23">
        <f t="shared" si="1"/>
        <v>0</v>
      </c>
    </row>
    <row r="98" spans="1:7" ht="38.25" x14ac:dyDescent="0.25">
      <c r="A98" s="19">
        <v>27</v>
      </c>
      <c r="B98" s="3" t="s">
        <v>96</v>
      </c>
      <c r="C98" s="28">
        <v>1</v>
      </c>
      <c r="D98" s="26" t="s">
        <v>15</v>
      </c>
      <c r="E98" s="1"/>
      <c r="F98" s="22">
        <v>0</v>
      </c>
      <c r="G98" s="23">
        <f t="shared" si="1"/>
        <v>0</v>
      </c>
    </row>
    <row r="99" spans="1:7" x14ac:dyDescent="0.25">
      <c r="A99" s="19">
        <v>28</v>
      </c>
      <c r="B99" s="3" t="s">
        <v>97</v>
      </c>
      <c r="C99" s="28">
        <v>12</v>
      </c>
      <c r="D99" s="26" t="s">
        <v>20</v>
      </c>
      <c r="E99" s="1"/>
      <c r="F99" s="22">
        <v>0</v>
      </c>
      <c r="G99" s="23">
        <f t="shared" si="1"/>
        <v>0</v>
      </c>
    </row>
    <row r="100" spans="1:7" x14ac:dyDescent="0.25">
      <c r="A100" s="19">
        <v>29</v>
      </c>
      <c r="B100" s="3" t="s">
        <v>98</v>
      </c>
      <c r="C100" s="28">
        <v>24</v>
      </c>
      <c r="D100" s="26" t="s">
        <v>20</v>
      </c>
      <c r="E100" s="1"/>
      <c r="F100" s="22">
        <v>0</v>
      </c>
      <c r="G100" s="23">
        <f t="shared" si="1"/>
        <v>0</v>
      </c>
    </row>
    <row r="101" spans="1:7" x14ac:dyDescent="0.25">
      <c r="A101" s="19">
        <v>30</v>
      </c>
      <c r="B101" s="3" t="s">
        <v>99</v>
      </c>
      <c r="C101" s="28">
        <v>380</v>
      </c>
      <c r="D101" s="26" t="s">
        <v>1</v>
      </c>
      <c r="E101" s="1"/>
      <c r="F101" s="22">
        <v>0</v>
      </c>
      <c r="G101" s="23">
        <f t="shared" si="1"/>
        <v>0</v>
      </c>
    </row>
    <row r="102" spans="1:7" x14ac:dyDescent="0.25">
      <c r="A102" s="19">
        <v>31</v>
      </c>
      <c r="B102" s="3" t="s">
        <v>100</v>
      </c>
      <c r="C102" s="28">
        <v>30</v>
      </c>
      <c r="D102" s="26" t="s">
        <v>1</v>
      </c>
      <c r="E102" s="1"/>
      <c r="F102" s="22">
        <v>0</v>
      </c>
      <c r="G102" s="23">
        <f t="shared" si="1"/>
        <v>0</v>
      </c>
    </row>
    <row r="103" spans="1:7" ht="25.5" x14ac:dyDescent="0.25">
      <c r="A103" s="19">
        <v>32</v>
      </c>
      <c r="B103" s="3" t="s">
        <v>101</v>
      </c>
      <c r="C103" s="28">
        <v>2</v>
      </c>
      <c r="D103" s="26" t="s">
        <v>20</v>
      </c>
      <c r="E103" s="1"/>
      <c r="F103" s="22">
        <v>0</v>
      </c>
      <c r="G103" s="23">
        <f t="shared" si="1"/>
        <v>0</v>
      </c>
    </row>
    <row r="104" spans="1:7" x14ac:dyDescent="0.25">
      <c r="A104" s="19">
        <v>33</v>
      </c>
      <c r="B104" s="3" t="s">
        <v>102</v>
      </c>
      <c r="C104" s="28">
        <v>4</v>
      </c>
      <c r="D104" s="26" t="s">
        <v>20</v>
      </c>
      <c r="E104" s="1"/>
      <c r="F104" s="22">
        <v>0</v>
      </c>
      <c r="G104" s="23">
        <f t="shared" si="1"/>
        <v>0</v>
      </c>
    </row>
    <row r="105" spans="1:7" x14ac:dyDescent="0.25">
      <c r="A105" s="19">
        <v>34</v>
      </c>
      <c r="B105" s="3" t="s">
        <v>103</v>
      </c>
      <c r="C105" s="28">
        <v>6</v>
      </c>
      <c r="D105" s="26" t="s">
        <v>20</v>
      </c>
      <c r="E105" s="1"/>
      <c r="F105" s="22">
        <v>0</v>
      </c>
      <c r="G105" s="23">
        <f t="shared" si="1"/>
        <v>0</v>
      </c>
    </row>
    <row r="106" spans="1:7" x14ac:dyDescent="0.25">
      <c r="A106" s="19">
        <v>35</v>
      </c>
      <c r="B106" s="3" t="s">
        <v>113</v>
      </c>
      <c r="C106" s="28">
        <v>6</v>
      </c>
      <c r="D106" s="26" t="s">
        <v>20</v>
      </c>
      <c r="E106" s="1"/>
      <c r="F106" s="22">
        <v>0</v>
      </c>
      <c r="G106" s="23">
        <f t="shared" si="1"/>
        <v>0</v>
      </c>
    </row>
    <row r="107" spans="1:7" x14ac:dyDescent="0.25">
      <c r="A107" s="19">
        <v>36</v>
      </c>
      <c r="B107" s="3" t="s">
        <v>114</v>
      </c>
      <c r="C107" s="28">
        <v>3</v>
      </c>
      <c r="D107" s="26" t="s">
        <v>20</v>
      </c>
      <c r="E107" s="1"/>
      <c r="F107" s="22">
        <v>0</v>
      </c>
      <c r="G107" s="23">
        <f t="shared" si="1"/>
        <v>0</v>
      </c>
    </row>
    <row r="109" spans="1:7" x14ac:dyDescent="0.25">
      <c r="F109" s="5" t="s">
        <v>112</v>
      </c>
      <c r="G109" s="23">
        <f>SUM(G2:G107)</f>
        <v>4513.2999999999993</v>
      </c>
    </row>
    <row r="110" spans="1:7" x14ac:dyDescent="0.25">
      <c r="F110" s="5" t="s">
        <v>111</v>
      </c>
      <c r="G110" s="23">
        <f>SUM(G109*0.18)</f>
        <v>812.39399999999989</v>
      </c>
    </row>
    <row r="111" spans="1:7" x14ac:dyDescent="0.25">
      <c r="F111" s="24" t="s">
        <v>110</v>
      </c>
      <c r="G111" s="25">
        <f>SUM(G109:G110)</f>
        <v>5325.6939999999995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STRIXMMC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2026-04-24T06:26:10Z</dcterms:modified>
</cp:coreProperties>
</file>