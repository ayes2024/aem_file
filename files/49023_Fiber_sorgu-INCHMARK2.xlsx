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B80D1BC9-3B29-4AA0-AD18-F70364210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1" l="1"/>
  <c r="E17" i="1"/>
  <c r="E16" i="1"/>
  <c r="E15" i="1"/>
  <c r="E12" i="1"/>
  <c r="E11" i="1"/>
  <c r="E10" i="1"/>
  <c r="E7" i="1"/>
  <c r="E5" i="1"/>
  <c r="E4" i="1"/>
  <c r="E3" i="1"/>
</calcChain>
</file>

<file path=xl/sharedStrings.xml><?xml version="1.0" encoding="utf-8"?>
<sst xmlns="http://schemas.openxmlformats.org/spreadsheetml/2006/main" count="40" uniqueCount="35">
  <si>
    <t>IDF PDU, vertical, 1phase, C13, 7kW</t>
  </si>
  <si>
    <t>IDF Fiber Optic Patch Panel, 24 core, SC, SM, set of pigtails, adapters</t>
  </si>
  <si>
    <t>IDF Fiber optic patchcord, 2m, SM, dual, LC/LC</t>
  </si>
  <si>
    <t>IDF Fiber optic patchcord, 2m, SM, dual, LC/LC (SPARE)</t>
  </si>
  <si>
    <t>IDF Cable organizer, 19" (FO)</t>
  </si>
  <si>
    <t>IDF UPS 6kVA, Online, 1phase in, 1 phase out, battery included, rackmountable, SNMP card ethernet</t>
  </si>
  <si>
    <t>MDF RACK, 42U, 800x1200, perforated doors, vertical cable trays with cover, FAN
Included: UPS Management software included, Power cable 3x4mm, Male connector, Female connector</t>
  </si>
  <si>
    <t>MDF PDU, vertical, 1phase, C13, 7kW</t>
  </si>
  <si>
    <t>MDF Fiber Optic Patch Panel, 24 core, SC, SM, set of pigtails, adapters</t>
  </si>
  <si>
    <t>MDF Fiber optic patchcord, 2m, SM, dual, LC/LC</t>
  </si>
  <si>
    <t>MDF Fiber optic patchcord, 2m, SM, dual, LC/LC (switch to DC)</t>
  </si>
  <si>
    <t>MDF Fiber optic patchcord, 2m, SM, dual, LC/LC (SPARE)</t>
  </si>
  <si>
    <t>MDF UPS 10kVA, Online, 1phase in, 1 phase out, battery included, rackmountable, SNMP card out, ethernet
Included: UPS Management software, Power cable 3x4mm, Male connector, Female connector</t>
  </si>
  <si>
    <t>UTP CAT6A cable</t>
  </si>
  <si>
    <t>300000m</t>
  </si>
  <si>
    <t>FO, SM, 12 core cable</t>
  </si>
  <si>
    <t>40000m</t>
  </si>
  <si>
    <t>Mallar (işlər, xidmətlər)</t>
  </si>
  <si>
    <t>Say</t>
  </si>
  <si>
    <t>Məhsul</t>
  </si>
  <si>
    <t>Qiymət</t>
  </si>
  <si>
    <t>Məbləğ</t>
  </si>
  <si>
    <t>VOLTAM PD-01 6 way EU type PDU</t>
  </si>
  <si>
    <t>VOLTAM VF-52 24 Port Patch Panel with 24 pcs SC/UPC Adapter,24 pcs SC/UPC 0.9mm 1.5M Pigtail</t>
  </si>
  <si>
    <t>VOLTAM VF-145 optic patch cord LC - LC 2m duplex UPC 2.0mm  G652D LSZH</t>
  </si>
  <si>
    <t xml:space="preserve">Qeyd </t>
  </si>
  <si>
    <t>qeyd etdiyim mehsuldan say yoxdur (bizde 20 ededdir), bu sebebden basqasini alternativ olaraq teklif edecem - VOLTAM VF-138 optic patch cord SC/UPC - LC/UPC duplex 2 meter 2.0mm G652D LSZH - 5.57 azn edv daxil</t>
  </si>
  <si>
    <r>
      <t>IDF RACK, 42U</t>
    </r>
    <r>
      <rPr>
        <sz val="9"/>
        <color rgb="FFFF0000"/>
        <rFont val="Arial"/>
        <family val="2"/>
      </rPr>
      <t>, 800x800,</t>
    </r>
    <r>
      <rPr>
        <sz val="9"/>
        <color theme="1"/>
        <rFont val="Arial"/>
        <family val="2"/>
        <charset val="162"/>
      </rPr>
      <t xml:space="preserve"> perforated doors, vertical cable trays with cover, FAN (Metal cable tray 50mmx40mm, with cover, meters included)</t>
    </r>
  </si>
  <si>
    <t xml:space="preserve">bu olcude yoxdur </t>
  </si>
  <si>
    <t>VOLTAM - VK-12 ( 1U Horizontal Kabel Organayzer )</t>
  </si>
  <si>
    <t>yoxdur</t>
  </si>
  <si>
    <t>VOLTAM VA-11  10KVA/9000W 192VDC Tower Online UPS</t>
  </si>
  <si>
    <t>VOLTAM CAT 5E UTP INDOOR (2*4pair 0.46mm CCA) Şəbəkə Kabeli</t>
  </si>
  <si>
    <t>VOLTAM VF-122 GYXTC8Y FO-12 core TROSLU outdoor  fiber optik kabel Tube Selt-Supporting Aerial Cables 8 cores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</si>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</sst>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9" zoomScale="115" zoomScaleNormal="115" workbookViewId="0">
      <selection activeCell="E18" sqref="E18"/>
    </sheetView>
  </sheetViews>
  <sheetFormatPr defaultRowHeight="14.4" x14ac:dyDescent="0.3"/>
  <cols>
    <col min="1" max="1" width="60.6640625" customWidth="1"/>
    <col min="2" max="2" width="7.5546875" style="5" bestFit="1" customWidth="1"/>
    <col min="3" max="3" width="44.21875" bestFit="1" customWidth="1"/>
    <col min="6" max="6" width="39.21875" customWidth="1"/>
  </cols>
  <sheetData>
    <row r="1" spans="1:6" x14ac:dyDescent="0.3">
      <c r="A1" s="1" t="s">
        <v>17</v>
      </c>
      <c r="B1" s="3" t="s">
        <v>18</v>
      </c>
      <c r="C1" s="1" t="s">
        <v>19</v>
      </c>
      <c r="D1" s="1" t="s">
        <v>20</v>
      </c>
      <c r="E1" s="1" t="s">
        <v>21</v>
      </c>
      <c r="F1" s="1" t="s">
        <v>25</v>
      </c>
    </row>
    <row r="2" spans="1:6" ht="24" x14ac:dyDescent="0.3">
      <c r="A2" s="2" t="s">
        <v>27</v>
      </c>
      <c r="B2" s="4">
        <v>61</v>
      </c>
      <c r="C2" s="7" t="s">
        <v>28</v>
      </c>
      <c r="D2" s="6"/>
      <c r="E2" s="6">
        <v>0</v>
      </c>
      <c r="F2" s="6"/>
    </row>
    <row r="3" spans="1:6" x14ac:dyDescent="0.3">
      <c r="A3" s="2" t="s">
        <v>0</v>
      </c>
      <c r="B3" s="4">
        <v>122</v>
      </c>
      <c r="C3" s="6" t="s">
        <v>22</v>
      </c>
      <c r="D3" s="6">
        <v>21</v>
      </c>
      <c r="E3" s="6">
        <f>D3*B3</f>
        <v>2562</v>
      </c>
      <c r="F3" s="6"/>
    </row>
    <row r="4" spans="1:6" ht="28.8" x14ac:dyDescent="0.3">
      <c r="A4" s="2" t="s">
        <v>1</v>
      </c>
      <c r="B4" s="4">
        <v>132</v>
      </c>
      <c r="C4" s="7" t="s">
        <v>23</v>
      </c>
      <c r="D4" s="6">
        <v>68.12</v>
      </c>
      <c r="E4" s="6">
        <f>D4*B4</f>
        <v>8991.84</v>
      </c>
      <c r="F4" s="6"/>
    </row>
    <row r="5" spans="1:6" ht="72" x14ac:dyDescent="0.3">
      <c r="A5" s="2" t="s">
        <v>2</v>
      </c>
      <c r="B5" s="4">
        <v>132</v>
      </c>
      <c r="C5" s="7" t="s">
        <v>24</v>
      </c>
      <c r="D5" s="6">
        <v>5.91</v>
      </c>
      <c r="E5" s="6">
        <f>D5*B5</f>
        <v>780.12</v>
      </c>
      <c r="F5" s="7" t="s">
        <v>26</v>
      </c>
    </row>
    <row r="6" spans="1:6" x14ac:dyDescent="0.3">
      <c r="A6" s="2" t="s">
        <v>3</v>
      </c>
      <c r="B6" s="4">
        <v>66</v>
      </c>
      <c r="C6" s="7"/>
      <c r="D6" s="6"/>
      <c r="E6" s="6">
        <v>0</v>
      </c>
      <c r="F6" s="6"/>
    </row>
    <row r="7" spans="1:6" x14ac:dyDescent="0.3">
      <c r="A7" s="2" t="s">
        <v>4</v>
      </c>
      <c r="B7" s="4">
        <v>66</v>
      </c>
      <c r="C7" s="6" t="s">
        <v>29</v>
      </c>
      <c r="D7" s="6">
        <v>7</v>
      </c>
      <c r="E7" s="6">
        <f>D7*B7</f>
        <v>462</v>
      </c>
      <c r="F7" s="6"/>
    </row>
    <row r="8" spans="1:6" ht="24" x14ac:dyDescent="0.3">
      <c r="A8" s="2" t="s">
        <v>5</v>
      </c>
      <c r="B8" s="4">
        <v>61</v>
      </c>
      <c r="C8" s="6" t="s">
        <v>30</v>
      </c>
      <c r="D8" s="6"/>
      <c r="E8" s="6">
        <v>0</v>
      </c>
      <c r="F8" s="6"/>
    </row>
    <row r="9" spans="1:6" ht="46.8" x14ac:dyDescent="0.3">
      <c r="A9" s="2" t="s">
        <v>6</v>
      </c>
      <c r="B9" s="4">
        <v>6</v>
      </c>
      <c r="C9" s="6" t="s">
        <v>30</v>
      </c>
      <c r="D9" s="6"/>
      <c r="E9" s="6">
        <v>0</v>
      </c>
      <c r="F9" s="6"/>
    </row>
    <row r="10" spans="1:6" x14ac:dyDescent="0.3">
      <c r="A10" s="2" t="s">
        <v>7</v>
      </c>
      <c r="B10" s="4">
        <v>12</v>
      </c>
      <c r="C10" s="6" t="s">
        <v>22</v>
      </c>
      <c r="D10" s="6">
        <v>21</v>
      </c>
      <c r="E10" s="6">
        <f>D10*B10</f>
        <v>252</v>
      </c>
      <c r="F10" s="6"/>
    </row>
    <row r="11" spans="1:6" ht="28.8" x14ac:dyDescent="0.3">
      <c r="A11" s="2" t="s">
        <v>8</v>
      </c>
      <c r="B11" s="4">
        <v>144</v>
      </c>
      <c r="C11" s="7" t="s">
        <v>23</v>
      </c>
      <c r="D11" s="6">
        <v>68.12</v>
      </c>
      <c r="E11" s="6">
        <f>D11*B11</f>
        <v>9809.2800000000007</v>
      </c>
      <c r="F11" s="6"/>
    </row>
    <row r="12" spans="1:6" ht="72" x14ac:dyDescent="0.3">
      <c r="A12" s="2" t="s">
        <v>9</v>
      </c>
      <c r="B12" s="4">
        <v>66</v>
      </c>
      <c r="C12" s="7" t="s">
        <v>24</v>
      </c>
      <c r="D12" s="6">
        <v>5.91</v>
      </c>
      <c r="E12" s="6">
        <f>D12*B12</f>
        <v>390.06</v>
      </c>
      <c r="F12" s="7" t="s">
        <v>26</v>
      </c>
    </row>
    <row r="13" spans="1:6" x14ac:dyDescent="0.3">
      <c r="A13" s="2" t="s">
        <v>10</v>
      </c>
      <c r="B13" s="4">
        <v>6</v>
      </c>
      <c r="C13" s="6"/>
      <c r="D13" s="6"/>
      <c r="E13" s="6">
        <v>0</v>
      </c>
      <c r="F13" s="6"/>
    </row>
    <row r="14" spans="1:6" x14ac:dyDescent="0.3">
      <c r="A14" s="2" t="s">
        <v>11</v>
      </c>
      <c r="B14" s="4">
        <v>18</v>
      </c>
      <c r="C14" s="6"/>
      <c r="D14" s="6"/>
      <c r="E14" s="6">
        <v>0</v>
      </c>
      <c r="F14" s="6"/>
    </row>
    <row r="15" spans="1:6" ht="46.8" x14ac:dyDescent="0.3">
      <c r="A15" s="2" t="s">
        <v>12</v>
      </c>
      <c r="B15" s="4">
        <v>6</v>
      </c>
      <c r="C15" s="7" t="s">
        <v>31</v>
      </c>
      <c r="D15" s="6">
        <v>1350</v>
      </c>
      <c r="E15" s="6">
        <f>D15*B15</f>
        <v>8100</v>
      </c>
      <c r="F15" s="6"/>
    </row>
    <row r="16" spans="1:6" ht="28.8" x14ac:dyDescent="0.3">
      <c r="A16" s="2" t="s">
        <v>13</v>
      </c>
      <c r="B16" s="4" t="s">
        <v>14</v>
      </c>
      <c r="C16" s="7" t="s">
        <v>32</v>
      </c>
      <c r="D16" s="6">
        <v>0.17</v>
      </c>
      <c r="E16" s="6">
        <f>D16*300000</f>
        <v>51000.000000000007</v>
      </c>
      <c r="F16" s="6"/>
    </row>
    <row r="17" spans="1:6" ht="43.2" x14ac:dyDescent="0.3">
      <c r="A17" s="2" t="s">
        <v>15</v>
      </c>
      <c r="B17" s="4" t="s">
        <v>16</v>
      </c>
      <c r="C17" s="7" t="s">
        <v>33</v>
      </c>
      <c r="D17" s="6">
        <v>1.02</v>
      </c>
      <c r="E17" s="6">
        <f>D17*40000</f>
        <v>40800</v>
      </c>
      <c r="F17" s="6"/>
    </row>
    <row r="18" spans="1:6" x14ac:dyDescent="0.3">
      <c r="A18" s="8" t="s">
        <v>34</v>
      </c>
      <c r="B18" s="9"/>
      <c r="C18" s="10"/>
      <c r="D18" s="6"/>
      <c r="E18" s="11">
        <f>SUM(E2:E17)</f>
        <v>123147.30000000002</v>
      </c>
      <c r="F18" s="6"/>
    </row>
  </sheetData>
  <mergeCells count="1">
    <mergeCell ref="A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Aliyeva</dc:creator>
  <cp:lastModifiedBy>Zeyneb Alamova</cp:lastModifiedBy>
  <dcterms:created xsi:type="dcterms:W3CDTF">2015-06-05T18:17:20Z</dcterms:created>
  <dcterms:modified xsi:type="dcterms:W3CDTF">2026-05-25T11:21:11Z</dcterms:modified>
</cp:coreProperties>
</file>