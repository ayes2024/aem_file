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B0888057-A312-4042-BB23-4E1BF46C4B0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Sheet1!$A$2:$H$24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16" i="1"/>
  <c r="G7" i="1"/>
  <c r="G9" i="1"/>
  <c r="G10" i="1"/>
  <c r="G11" i="1"/>
  <c r="G12" i="1"/>
  <c r="G13" i="1"/>
  <c r="G14" i="1"/>
  <c r="G15" i="1"/>
  <c r="G17" i="1"/>
  <c r="G18" i="1"/>
  <c r="G19" i="1"/>
  <c r="G8" i="1"/>
  <c r="G6" i="1" l="1"/>
  <c r="G5" i="1"/>
  <c r="G20" i="1" s="1"/>
  <c r="G21" i="1" s="1"/>
  <c r="G3" i="1"/>
  <c r="G24" i="1" l="1"/>
</calcChain>
</file>

<file path=xl/sharedStrings.xml><?xml version="1.0" encoding="utf-8"?>
<sst xmlns="http://schemas.openxmlformats.org/spreadsheetml/2006/main" count="61" uniqueCount="45">
  <si>
    <t>Əlavə Məlumatlar</t>
  </si>
  <si>
    <t>CƏM</t>
  </si>
  <si>
    <t>ƏDV 18 %</t>
  </si>
  <si>
    <t>ÇATDIRILMA</t>
  </si>
  <si>
    <t>DİGƏR</t>
  </si>
  <si>
    <t>YEKUN</t>
  </si>
  <si>
    <t>ədəd</t>
  </si>
  <si>
    <t xml:space="preserve">                                                  </t>
  </si>
  <si>
    <t>N</t>
  </si>
  <si>
    <t>Məhsul</t>
  </si>
  <si>
    <t>Təklif edilən məhsul</t>
  </si>
  <si>
    <t>Ölçü Vahidi</t>
  </si>
  <si>
    <t>Miqdar</t>
  </si>
  <si>
    <t>Qiymət</t>
  </si>
  <si>
    <t>Cəmi</t>
  </si>
  <si>
    <t>Stok sayı</t>
  </si>
  <si>
    <t xml:space="preserve">18 U Rack Cabin 600x600 </t>
  </si>
  <si>
    <t>Rack Kabin 6 U 600x600</t>
  </si>
  <si>
    <t xml:space="preserve">Rack Cabin 9 U 600x600 </t>
  </si>
  <si>
    <t>12 Port Optic Patch Panel (dolu)</t>
  </si>
  <si>
    <t xml:space="preserve">Optik Kaset - 12 ədəd
 </t>
  </si>
  <si>
    <t>5 Metrlik HDMİ Kabel</t>
  </si>
  <si>
    <t>8 Port Poe Switch -</t>
  </si>
  <si>
    <t>Germetik Qutu 300x400 -</t>
  </si>
  <si>
    <t xml:space="preserve">48 Port Poe Switch </t>
  </si>
  <si>
    <t>Kabel Orqanizer -</t>
  </si>
  <si>
    <t xml:space="preserve">CAT 6 Patch Panel- </t>
  </si>
  <si>
    <t>Media Convertor 100 Megabit(cüt)</t>
  </si>
  <si>
    <t>10TB HDD</t>
  </si>
  <si>
    <t>Akkumulyator 12V 7A</t>
  </si>
  <si>
    <t>4 port POe Switch -</t>
  </si>
  <si>
    <t>3-lü Priz</t>
  </si>
  <si>
    <t xml:space="preserve">6lü PDU </t>
  </si>
  <si>
    <t>VOLTAM - VR-6609 - 9U  Rack Cabin 600x600x500 mm Wall mounted</t>
  </si>
  <si>
    <t>VOLTAM - VR-6606 - 6U Rack Cabin 600x600x350 mm Wall mounted</t>
  </si>
  <si>
    <t>VOLTAM VH-10 HDMİ1.4 cable 4K 30HZ (5m)</t>
  </si>
  <si>
    <t>TP-Link - LS108GP (8-Port Gigabit Desktop Switch with 8-Port PoE+)</t>
  </si>
  <si>
    <t>TP-Link - TL-SG3452P (Omada 52-Port Gigabit L2+ Managed Switch with 48-Port PoE+)</t>
  </si>
  <si>
    <t>VOLTAM PD-01 6 way EU type PDU</t>
  </si>
  <si>
    <t>VOLTAM - VK-12 ( 1U Horizontal Kabel Organayzer )</t>
  </si>
  <si>
    <t>LINKBASIC - PND24-UC6 - 24 порт CAT6 UTP патч-панель</t>
  </si>
  <si>
    <t>TP-Link - MC100CM 10/100Mbps Multi-Mode Media Converter - до 2 км</t>
  </si>
  <si>
    <t>HIKVISION - DS100HKAI-VX1 (10TB/7200RPM)</t>
  </si>
  <si>
    <t>VOLTAM BP12-7 12V7AH UPS AKKUMLYATOR</t>
  </si>
  <si>
    <t>TP-Link - ES206GP (Omada 6-Port Gigabit Easy Managed Switch with 4-Port PoE+)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</si>
</sst>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* #,##0.00\ [$₼-42C]_-;\-* #,##0.00\ [$₼-42C]_-;_-* &quot;-&quot;??\ [$₼-42C]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4"/>
      <name val="Times Roman"/>
    </font>
    <font>
      <b/>
      <sz val="14"/>
      <name val="Times Roman"/>
    </font>
    <font>
      <b/>
      <i/>
      <sz val="14"/>
      <name val="Times Roman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0" xfId="0" applyFont="1"/>
    <xf numFmtId="165" fontId="0" fillId="0" borderId="0" xfId="0" applyNumberFormat="1"/>
    <xf numFmtId="0" fontId="3" fillId="0" borderId="1" xfId="0" applyFont="1" applyBorder="1"/>
    <xf numFmtId="165" fontId="3" fillId="0" borderId="1" xfId="0" applyNumberFormat="1" applyFont="1" applyBorder="1"/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0" fillId="0" borderId="1" xfId="1" applyNumberFormat="1" applyFont="1" applyBorder="1"/>
    <xf numFmtId="165" fontId="0" fillId="0" borderId="0" xfId="1" applyNumberFormat="1" applyFont="1"/>
    <xf numFmtId="0" fontId="9" fillId="0" borderId="1" xfId="0" applyFont="1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11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0" fillId="2" borderId="1" xfId="1" applyNumberFormat="1" applyFont="1" applyFill="1" applyBorder="1"/>
    <xf numFmtId="0" fontId="4" fillId="2" borderId="1" xfId="1" applyNumberFormat="1" applyFont="1" applyFill="1" applyBorder="1"/>
    <xf numFmtId="0" fontId="0" fillId="0" borderId="0" xfId="1" applyNumberFormat="1" applyFont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165" fontId="13" fillId="3" borderId="1" xfId="1" applyNumberFormat="1" applyFont="1" applyFill="1" applyBorder="1" applyAlignment="1">
      <alignment horizontal="center"/>
    </xf>
    <xf numFmtId="0" fontId="13" fillId="3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65" fontId="4" fillId="4" borderId="1" xfId="1" applyNumberFormat="1" applyFont="1" applyFill="1" applyBorder="1"/>
    <xf numFmtId="165" fontId="0" fillId="5" borderId="1" xfId="1" applyNumberFormat="1" applyFont="1" applyFill="1" applyBorder="1"/>
    <xf numFmtId="0" fontId="14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6B4F1"/>
      <color rgb="FFBC8FDD"/>
      <color rgb="FFFBC1E6"/>
      <color rgb="FFFDEDFB"/>
      <color rgb="FFFD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5814060</xdr:colOff>
      <xdr:row>0</xdr:row>
      <xdr:rowOff>121920</xdr:rowOff>
    </xdr:from>
    <xdr:to>
      <xdr:col>4</xdr:col>
      <xdr:colOff>716280</xdr:colOff>
      <xdr:row>0</xdr:row>
      <xdr:rowOff>1706880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8C4C33-6EEE-4E57-8BBA-0BD683F0AFBD}"/>
            </a:ext>
          </a:extLst>
        </xdr:cNvPr>
        <xdr:cNvSpPr txBox="1"/>
      </xdr:nvSpPr>
      <xdr:spPr>
        <a:xfrm>
          <a:off x="6225540" y="121920"/>
          <a:ext cx="868680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Adres: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Azerbaycan, Bakı, AZ1054, Binaqadi r-nu, H.Ağamalıyev kÜç. , 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Telefon: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+994 55 248 68 86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+994 12 412 68 86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info@azintech.az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310245</xdr:colOff>
      <xdr:row>0</xdr:row>
      <xdr:rowOff>375983</xdr:rowOff>
    </xdr:from>
    <xdr:to>
      <xdr:col>1</xdr:col>
      <xdr:colOff>4637314</xdr:colOff>
      <xdr:row>0</xdr:row>
      <xdr:rowOff>1470864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FE2CA-3876-42F4-A576-4CEA0B4C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45" y="375983"/>
          <a:ext cx="4740726" cy="1094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70" zoomScaleNormal="70" workbookViewId="0">
      <selection activeCell="F19" sqref="F19"/>
    </sheetView>
  </sheetViews>
  <sheetFormatPr defaultRowHeight="15"/>
  <cols>
    <col min="1" max="1" width="6" style="6" customWidth="1"/>
    <col min="2" max="2" width="113.42578125" style="2" customWidth="1"/>
    <col min="3" max="3" width="82.140625" style="2" customWidth="1"/>
    <col min="4" max="4" width="11.7109375" style="2" customWidth="1"/>
    <col min="5" max="5" width="10.42578125" style="2" customWidth="1"/>
    <col min="6" max="6" width="15.5703125" style="3" customWidth="1"/>
    <col min="7" max="7" width="24.28515625" style="10" customWidth="1"/>
    <col min="8" max="8" width="15.85546875" style="22" customWidth="1"/>
    <col min="9" max="9" width="8.85546875" customWidth="1"/>
  </cols>
  <sheetData>
    <row r="1" spans="1:8" ht="138" customHeight="1">
      <c r="A1" s="40" t="s">
        <v>7</v>
      </c>
      <c r="B1" s="41"/>
      <c r="C1" s="41"/>
      <c r="D1" s="41"/>
      <c r="E1" s="41"/>
      <c r="F1" s="41"/>
      <c r="G1" s="42"/>
      <c r="H1" s="19"/>
    </row>
    <row r="2" spans="1:8" ht="22.9" customHeight="1">
      <c r="A2" s="25" t="s">
        <v>8</v>
      </c>
      <c r="B2" s="26" t="s">
        <v>9</v>
      </c>
      <c r="C2" s="27" t="s">
        <v>10</v>
      </c>
      <c r="D2" s="27" t="s">
        <v>11</v>
      </c>
      <c r="E2" s="26" t="s">
        <v>12</v>
      </c>
      <c r="F2" s="28" t="s">
        <v>13</v>
      </c>
      <c r="G2" s="29" t="s">
        <v>14</v>
      </c>
      <c r="H2" s="30" t="s">
        <v>15</v>
      </c>
    </row>
    <row r="3" spans="1:8" ht="30.6" customHeight="1">
      <c r="A3" s="11">
        <v>1</v>
      </c>
      <c r="B3" s="23" t="s">
        <v>16</v>
      </c>
      <c r="C3" s="17"/>
      <c r="D3" s="12" t="s">
        <v>6</v>
      </c>
      <c r="E3" s="4">
        <v>1</v>
      </c>
      <c r="F3" s="5"/>
      <c r="G3" s="38">
        <f t="shared" ref="G3:G6" si="0">SUM(E3*F3)</f>
        <v>0</v>
      </c>
      <c r="H3" s="20"/>
    </row>
    <row r="4" spans="1:8" ht="29.45" customHeight="1">
      <c r="A4" s="11">
        <v>2</v>
      </c>
      <c r="B4" s="23" t="s">
        <v>18</v>
      </c>
      <c r="C4" s="17" t="s">
        <v>33</v>
      </c>
      <c r="D4" s="12" t="s">
        <v>6</v>
      </c>
      <c r="E4" s="4">
        <v>1</v>
      </c>
      <c r="F4" s="5">
        <v>92.64</v>
      </c>
      <c r="G4" s="38">
        <f>SUM(E4*F4)</f>
        <v>92.64</v>
      </c>
      <c r="H4" s="20"/>
    </row>
    <row r="5" spans="1:8" ht="24.6" customHeight="1">
      <c r="A5" s="11">
        <v>3</v>
      </c>
      <c r="B5" s="23" t="s">
        <v>17</v>
      </c>
      <c r="C5" s="17" t="s">
        <v>34</v>
      </c>
      <c r="D5" s="12" t="s">
        <v>6</v>
      </c>
      <c r="E5" s="4">
        <v>3</v>
      </c>
      <c r="F5" s="5">
        <v>84.8</v>
      </c>
      <c r="G5" s="38">
        <f t="shared" si="0"/>
        <v>254.39999999999998</v>
      </c>
      <c r="H5" s="20"/>
    </row>
    <row r="6" spans="1:8" ht="23.45" customHeight="1">
      <c r="A6" s="11">
        <v>4</v>
      </c>
      <c r="B6" s="23" t="s">
        <v>19</v>
      </c>
      <c r="C6" s="17"/>
      <c r="D6" s="12" t="s">
        <v>6</v>
      </c>
      <c r="E6" s="4">
        <v>12</v>
      </c>
      <c r="F6" s="5"/>
      <c r="G6" s="38">
        <f t="shared" si="0"/>
        <v>0</v>
      </c>
      <c r="H6" s="20"/>
    </row>
    <row r="7" spans="1:8" ht="28.15" customHeight="1">
      <c r="A7" s="11">
        <v>5</v>
      </c>
      <c r="B7" s="39" t="s">
        <v>20</v>
      </c>
      <c r="C7" s="17"/>
      <c r="D7" s="12" t="s">
        <v>6</v>
      </c>
      <c r="E7" s="4">
        <v>4</v>
      </c>
      <c r="F7" s="5"/>
      <c r="G7" s="38">
        <f>SUM(E7*F7)</f>
        <v>0</v>
      </c>
      <c r="H7" s="20"/>
    </row>
    <row r="8" spans="1:8" ht="28.15" customHeight="1">
      <c r="A8" s="11">
        <v>6</v>
      </c>
      <c r="B8" s="23" t="s">
        <v>21</v>
      </c>
      <c r="C8" s="17" t="s">
        <v>35</v>
      </c>
      <c r="D8" s="12" t="s">
        <v>6</v>
      </c>
      <c r="E8" s="4">
        <v>1</v>
      </c>
      <c r="F8" s="5">
        <v>9.7100000000000009</v>
      </c>
      <c r="G8" s="38">
        <f>SUM(E8*F8)</f>
        <v>9.7100000000000009</v>
      </c>
      <c r="H8" s="20"/>
    </row>
    <row r="9" spans="1:8" ht="24" customHeight="1">
      <c r="A9" s="11">
        <v>7</v>
      </c>
      <c r="B9" s="23" t="s">
        <v>22</v>
      </c>
      <c r="C9" s="17" t="s">
        <v>36</v>
      </c>
      <c r="D9" s="12" t="s">
        <v>6</v>
      </c>
      <c r="E9" s="4">
        <v>2</v>
      </c>
      <c r="F9" s="5">
        <v>83.29</v>
      </c>
      <c r="G9" s="38">
        <f t="shared" ref="G9:G19" si="1">SUM(E9*F9)</f>
        <v>166.58</v>
      </c>
      <c r="H9" s="20"/>
    </row>
    <row r="10" spans="1:8" ht="30" customHeight="1">
      <c r="A10" s="11">
        <v>8</v>
      </c>
      <c r="B10" s="23" t="s">
        <v>23</v>
      </c>
      <c r="C10" s="17"/>
      <c r="D10" s="12" t="s">
        <v>6</v>
      </c>
      <c r="E10" s="4">
        <v>5</v>
      </c>
      <c r="F10" s="5"/>
      <c r="G10" s="38">
        <f t="shared" si="1"/>
        <v>0</v>
      </c>
      <c r="H10" s="20"/>
    </row>
    <row r="11" spans="1:8" ht="33.75" customHeight="1">
      <c r="A11" s="11">
        <v>9</v>
      </c>
      <c r="B11" s="23" t="s">
        <v>24</v>
      </c>
      <c r="C11" s="43" t="s">
        <v>37</v>
      </c>
      <c r="D11" s="12" t="s">
        <v>6</v>
      </c>
      <c r="E11" s="4">
        <v>4</v>
      </c>
      <c r="F11" s="5">
        <v>931</v>
      </c>
      <c r="G11" s="38">
        <f t="shared" si="1"/>
        <v>3724</v>
      </c>
      <c r="H11" s="20"/>
    </row>
    <row r="12" spans="1:8" ht="23.45" customHeight="1">
      <c r="A12" s="11">
        <v>10</v>
      </c>
      <c r="B12" s="23" t="s">
        <v>32</v>
      </c>
      <c r="C12" s="17" t="s">
        <v>38</v>
      </c>
      <c r="D12" s="12" t="s">
        <v>6</v>
      </c>
      <c r="E12" s="4">
        <v>3</v>
      </c>
      <c r="F12" s="5">
        <v>21</v>
      </c>
      <c r="G12" s="38">
        <f t="shared" si="1"/>
        <v>63</v>
      </c>
      <c r="H12" s="20"/>
    </row>
    <row r="13" spans="1:8" ht="23.45" customHeight="1">
      <c r="A13" s="11">
        <v>11</v>
      </c>
      <c r="B13" s="23" t="s">
        <v>25</v>
      </c>
      <c r="C13" s="17" t="s">
        <v>39</v>
      </c>
      <c r="D13" s="12" t="s">
        <v>6</v>
      </c>
      <c r="E13" s="4">
        <v>3</v>
      </c>
      <c r="F13" s="5">
        <v>7</v>
      </c>
      <c r="G13" s="38">
        <f t="shared" si="1"/>
        <v>21</v>
      </c>
      <c r="H13" s="20"/>
    </row>
    <row r="14" spans="1:8" ht="22.15" customHeight="1">
      <c r="A14" s="11">
        <v>12</v>
      </c>
      <c r="B14" s="23" t="s">
        <v>26</v>
      </c>
      <c r="C14" s="17" t="s">
        <v>40</v>
      </c>
      <c r="D14" s="12" t="s">
        <v>6</v>
      </c>
      <c r="E14" s="4">
        <v>4</v>
      </c>
      <c r="F14" s="5">
        <v>71.53</v>
      </c>
      <c r="G14" s="38">
        <f t="shared" si="1"/>
        <v>286.12</v>
      </c>
      <c r="H14" s="20"/>
    </row>
    <row r="15" spans="1:8" ht="21" customHeight="1">
      <c r="A15" s="11">
        <v>13</v>
      </c>
      <c r="B15" s="23" t="s">
        <v>27</v>
      </c>
      <c r="C15" s="17" t="s">
        <v>41</v>
      </c>
      <c r="D15" s="12" t="s">
        <v>6</v>
      </c>
      <c r="E15" s="4">
        <v>9</v>
      </c>
      <c r="F15" s="5">
        <v>45.5</v>
      </c>
      <c r="G15" s="38">
        <f t="shared" si="1"/>
        <v>409.5</v>
      </c>
      <c r="H15" s="20"/>
    </row>
    <row r="16" spans="1:8" ht="25.15" customHeight="1">
      <c r="A16" s="11">
        <v>14</v>
      </c>
      <c r="B16" s="23" t="s">
        <v>28</v>
      </c>
      <c r="C16" s="17" t="s">
        <v>42</v>
      </c>
      <c r="D16" s="12" t="s">
        <v>6</v>
      </c>
      <c r="E16" s="4">
        <v>3</v>
      </c>
      <c r="F16" s="5">
        <v>1076.77</v>
      </c>
      <c r="G16" s="38">
        <f>SUM(E16*F16)</f>
        <v>3230.31</v>
      </c>
      <c r="H16" s="20"/>
    </row>
    <row r="17" spans="1:8" ht="30" customHeight="1">
      <c r="A17" s="11">
        <v>15</v>
      </c>
      <c r="B17" s="23" t="s">
        <v>29</v>
      </c>
      <c r="C17" s="17" t="s">
        <v>43</v>
      </c>
      <c r="D17" s="12" t="s">
        <v>6</v>
      </c>
      <c r="E17" s="4">
        <v>1</v>
      </c>
      <c r="F17" s="5">
        <v>18.72</v>
      </c>
      <c r="G17" s="38">
        <f t="shared" si="1"/>
        <v>18.72</v>
      </c>
      <c r="H17" s="20"/>
    </row>
    <row r="18" spans="1:8" ht="27.6" customHeight="1">
      <c r="A18" s="11">
        <v>16</v>
      </c>
      <c r="B18" s="23" t="s">
        <v>30</v>
      </c>
      <c r="C18" s="17" t="s">
        <v>44</v>
      </c>
      <c r="D18" s="12" t="s">
        <v>6</v>
      </c>
      <c r="E18" s="4">
        <v>5</v>
      </c>
      <c r="F18" s="5">
        <v>87.5</v>
      </c>
      <c r="G18" s="38">
        <f t="shared" si="1"/>
        <v>437.5</v>
      </c>
      <c r="H18" s="20"/>
    </row>
    <row r="19" spans="1:8" ht="42" customHeight="1">
      <c r="A19" s="11">
        <v>17</v>
      </c>
      <c r="B19" s="24" t="s">
        <v>31</v>
      </c>
      <c r="C19" s="17"/>
      <c r="D19" s="12" t="s">
        <v>6</v>
      </c>
      <c r="E19" s="4">
        <v>7</v>
      </c>
      <c r="F19" s="5"/>
      <c r="G19" s="38">
        <f t="shared" si="1"/>
        <v>0</v>
      </c>
      <c r="H19" s="20"/>
    </row>
    <row r="20" spans="1:8" ht="25.15" customHeight="1">
      <c r="A20" s="31"/>
      <c r="B20" s="32" t="s">
        <v>0</v>
      </c>
      <c r="C20" s="33"/>
      <c r="D20" s="34"/>
      <c r="E20" s="7" t="s">
        <v>1</v>
      </c>
      <c r="F20" s="1"/>
      <c r="G20" s="38">
        <f>SUM(G3:G19)</f>
        <v>8713.48</v>
      </c>
      <c r="H20" s="20"/>
    </row>
    <row r="21" spans="1:8" ht="25.15" customHeight="1">
      <c r="A21" s="13"/>
      <c r="B21" s="18"/>
      <c r="C21" s="14"/>
      <c r="D21" s="14"/>
      <c r="E21" s="7" t="s">
        <v>2</v>
      </c>
      <c r="F21" s="1"/>
      <c r="G21" s="9">
        <f>SUM(G20*0.18)</f>
        <v>1568.4263999999998</v>
      </c>
      <c r="H21" s="20"/>
    </row>
    <row r="22" spans="1:8" ht="25.15" customHeight="1">
      <c r="A22" s="13"/>
      <c r="B22" s="18"/>
      <c r="C22" s="14"/>
      <c r="D22" s="14"/>
      <c r="E22" s="7" t="s">
        <v>3</v>
      </c>
      <c r="F22" s="1"/>
      <c r="G22" s="9"/>
      <c r="H22" s="20"/>
    </row>
    <row r="23" spans="1:8" ht="25.15" customHeight="1">
      <c r="A23" s="31"/>
      <c r="B23" s="35"/>
      <c r="C23" s="36"/>
      <c r="D23" s="36"/>
      <c r="E23" s="7" t="s">
        <v>4</v>
      </c>
      <c r="F23" s="1"/>
      <c r="G23" s="9"/>
      <c r="H23" s="20"/>
    </row>
    <row r="24" spans="1:8" ht="25.15" customHeight="1">
      <c r="A24" s="15"/>
      <c r="B24" s="16"/>
      <c r="E24" s="8" t="s">
        <v>5</v>
      </c>
      <c r="F24" s="1"/>
      <c r="G24" s="37">
        <f>SUM(G20:G21)</f>
        <v>10281.9064</v>
      </c>
      <c r="H24" s="21"/>
    </row>
    <row r="25" spans="1:8" ht="25.15" customHeight="1">
      <c r="A25" s="15"/>
      <c r="B25" s="16"/>
    </row>
    <row r="26" spans="1:8" ht="25.15" customHeight="1"/>
    <row r="27" spans="1:8" ht="25.15" customHeight="1"/>
    <row r="28" spans="1:8" ht="25.15" customHeight="1"/>
    <row r="29" spans="1:8" ht="25.15" customHeight="1"/>
    <row r="30" spans="1:8" ht="25.15" customHeight="1"/>
    <row r="31" spans="1:8" ht="24" customHeight="1"/>
    <row r="32" spans="1:8" ht="25.9" customHeight="1"/>
    <row r="33" ht="24.6" customHeight="1"/>
    <row r="34" ht="24" customHeight="1"/>
    <row r="35" ht="24" customHeight="1"/>
    <row r="36" ht="23.45" customHeight="1"/>
  </sheetData>
  <autoFilter ref="A2:H24" xr:uid="{00000000-0001-0000-0000-000000000000}"/>
  <mergeCells count="1">
    <mergeCell ref="A1:G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AZINTECH</dc:creator>
  <cp:lastModifiedBy>Gulbadam Tamrazova</cp:lastModifiedBy>
  <dcterms:created xsi:type="dcterms:W3CDTF">2026-03-02T07:12:30Z</dcterms:created>
  <dcterms:modified xsi:type="dcterms:W3CDTF">2026-04-13T06:24:10Z</dcterms:modified>
</cp:coreProperties>
</file>