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ona.rahimli\Downloads\"/>
    </mc:Choice>
  </mc:AlternateContent>
  <xr:revisionPtr revIDLastSave="0" documentId="8_{8B68F4D8-1120-4166-8DFD-962ECD6E01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F2" i="1"/>
  <c r="F12" i="1" s="1"/>
</calcChain>
</file>

<file path=xl/sharedStrings.xml><?xml version="1.0" encoding="utf-8"?>
<sst xmlns="http://schemas.openxmlformats.org/spreadsheetml/2006/main" count="29" uniqueCount="26">
  <si>
    <t>Məhsul</t>
  </si>
  <si>
    <t>Miqdar</t>
  </si>
  <si>
    <t xml:space="preserve">Qiymət </t>
  </si>
  <si>
    <t>Fibre Channel Optical Cable (optik kabel) — 16 Gbps, OM4 LC-LC 3metr</t>
  </si>
  <si>
    <t>8 ədəd</t>
  </si>
  <si>
    <t xml:space="preserve">Patch Cord Cat6 30sm </t>
  </si>
  <si>
    <t>300 ədəd</t>
  </si>
  <si>
    <t xml:space="preserve">Patch Cord Cat6 1 metr </t>
  </si>
  <si>
    <t>100 ədəd</t>
  </si>
  <si>
    <t xml:space="preserve">Patch Cord Cat6 3 metr </t>
  </si>
  <si>
    <t xml:space="preserve">Patch Cord Cat6 5 metr </t>
  </si>
  <si>
    <t xml:space="preserve">Jack - RJ45 CAT6 (SHTURMANN UTP EZ RJ45 Connector SLT) </t>
  </si>
  <si>
    <t>200 ədəd</t>
  </si>
  <si>
    <t xml:space="preserve">Optik Patch Cord 1.5 metr SC-LC UPC Duplex VOLTAM VF-137 </t>
  </si>
  <si>
    <t>20 ədəd</t>
  </si>
  <si>
    <t xml:space="preserve">Kabel C13-C14 1mm 1.2 metr </t>
  </si>
  <si>
    <t>30 ədəd</t>
  </si>
  <si>
    <t>TƏKLİF OLUNAN MƏHSULUN ADI</t>
  </si>
  <si>
    <t>DATALINK CAT6 - LAN KABEL 0,5M ( BLACK )</t>
  </si>
  <si>
    <t>QİYMƏT</t>
  </si>
  <si>
    <t>TOTAL</t>
  </si>
  <si>
    <t>DATALINK CAT6 - LAN KABEL 1M ( BLACK )</t>
  </si>
  <si>
    <t>DATALINK CAT6 - LAN KABEL 3M ( GREEN )</t>
  </si>
  <si>
    <t>DATALINK CAT6 - LAN KABEL 5M ( GREY )</t>
  </si>
  <si>
    <t>DATALINK RJ45 - CAT6 CONNECTOR</t>
  </si>
  <si>
    <t>VOLTAM VF-137 optic patch cord SC/UPC - LC/UPC duplex 1,5 meter 2.0mm G652D LSZH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</si>
</sst>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3" sqref="F13"/>
    </sheetView>
  </sheetViews>
  <sheetFormatPr defaultRowHeight="15" x14ac:dyDescent="0.25"/>
  <cols>
    <col min="1" max="1" width="41.5703125" customWidth="1"/>
    <col min="4" max="4" width="45" customWidth="1"/>
  </cols>
  <sheetData>
    <row r="1" spans="1:6" ht="15.75" x14ac:dyDescent="0.25">
      <c r="A1" s="4" t="s">
        <v>0</v>
      </c>
      <c r="B1" s="4" t="s">
        <v>1</v>
      </c>
      <c r="C1" s="4" t="s">
        <v>2</v>
      </c>
      <c r="D1" s="6" t="s">
        <v>17</v>
      </c>
      <c r="E1" s="8" t="s">
        <v>19</v>
      </c>
      <c r="F1" s="8" t="s">
        <v>20</v>
      </c>
    </row>
    <row r="2" spans="1:6" ht="30" x14ac:dyDescent="0.25">
      <c r="A2" s="3" t="s">
        <v>3</v>
      </c>
      <c r="B2" s="2" t="s">
        <v>4</v>
      </c>
      <c r="C2" s="1"/>
      <c r="D2" s="9" t="s">
        <v>3</v>
      </c>
      <c r="E2">
        <v>14</v>
      </c>
      <c r="F2">
        <f>E2*8</f>
        <v>112</v>
      </c>
    </row>
    <row r="3" spans="1:6" x14ac:dyDescent="0.25">
      <c r="A3" s="2" t="s">
        <v>5</v>
      </c>
      <c r="B3" s="2" t="s">
        <v>6</v>
      </c>
      <c r="C3" s="1"/>
      <c r="D3" s="7" t="s">
        <v>18</v>
      </c>
      <c r="E3">
        <v>1.6</v>
      </c>
      <c r="F3">
        <f>E3*300</f>
        <v>480</v>
      </c>
    </row>
    <row r="4" spans="1:6" x14ac:dyDescent="0.25">
      <c r="A4" s="2" t="s">
        <v>7</v>
      </c>
      <c r="B4" s="2" t="s">
        <v>8</v>
      </c>
      <c r="C4" s="1"/>
      <c r="D4" s="7" t="s">
        <v>21</v>
      </c>
      <c r="E4">
        <v>2.09</v>
      </c>
      <c r="F4">
        <f>E4*100</f>
        <v>209</v>
      </c>
    </row>
    <row r="5" spans="1:6" x14ac:dyDescent="0.25">
      <c r="A5" s="2" t="s">
        <v>9</v>
      </c>
      <c r="B5" s="2" t="s">
        <v>8</v>
      </c>
      <c r="C5" s="1"/>
      <c r="D5" s="7" t="s">
        <v>22</v>
      </c>
      <c r="E5">
        <v>2.9</v>
      </c>
      <c r="F5">
        <f>E5*100</f>
        <v>290</v>
      </c>
    </row>
    <row r="6" spans="1:6" x14ac:dyDescent="0.25">
      <c r="A6" s="2" t="s">
        <v>10</v>
      </c>
      <c r="B6" s="2" t="s">
        <v>8</v>
      </c>
      <c r="C6" s="1"/>
      <c r="D6" s="7" t="s">
        <v>23</v>
      </c>
      <c r="E6">
        <v>3.29</v>
      </c>
      <c r="F6">
        <f>E6*100</f>
        <v>329</v>
      </c>
    </row>
    <row r="7" spans="1:6" ht="38.25" x14ac:dyDescent="0.25">
      <c r="A7" s="5" t="s">
        <v>11</v>
      </c>
      <c r="B7" s="2" t="s">
        <v>12</v>
      </c>
      <c r="C7" s="1"/>
      <c r="D7" s="7" t="s">
        <v>24</v>
      </c>
      <c r="E7">
        <v>0.17</v>
      </c>
      <c r="F7">
        <f>E7*200</f>
        <v>34</v>
      </c>
    </row>
    <row r="8" spans="1:6" ht="30" x14ac:dyDescent="0.25">
      <c r="A8" s="5" t="s">
        <v>13</v>
      </c>
      <c r="B8" s="2" t="s">
        <v>14</v>
      </c>
      <c r="C8" s="1"/>
      <c r="D8" s="9" t="s">
        <v>25</v>
      </c>
      <c r="E8">
        <v>5.42</v>
      </c>
      <c r="F8">
        <f>E8*20</f>
        <v>108.4</v>
      </c>
    </row>
    <row r="9" spans="1:6" x14ac:dyDescent="0.25">
      <c r="A9" s="2" t="s">
        <v>15</v>
      </c>
      <c r="B9" s="2" t="s">
        <v>16</v>
      </c>
      <c r="C9" s="1"/>
      <c r="D9" s="7"/>
    </row>
    <row r="12" spans="1:6" x14ac:dyDescent="0.25">
      <c r="F12">
        <f>SUM(F2:F8)</f>
        <v>1562.4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 Bayramov</dc:creator>
  <cp:lastModifiedBy>Sona Rahimli</cp:lastModifiedBy>
  <dcterms:created xsi:type="dcterms:W3CDTF">2026-04-17T06:13:42Z</dcterms:created>
  <dcterms:modified xsi:type="dcterms:W3CDTF">2026-04-28T14:25:58Z</dcterms:modified>
</cp:coreProperties>
</file>