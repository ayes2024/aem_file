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0497E9FF-278D-4E1B-BFE9-C25343CD104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9" i="1" l="1"/>
  <c r="G10" i="1"/>
  <c r="G8" i="1"/>
  <c r="G7" i="1"/>
  <c r="G6" i="1" l="1"/>
  <c r="G5" i="1"/>
  <c r="G4" i="1"/>
  <c r="G3" i="1"/>
  <c r="G12" i="1" l="1"/>
  <c r="G13" i="1"/>
  <c r="G16" i="1" s="1"/>
</calcChain>
</file>

<file path=xl/sharedStrings.xml><?xml version="1.0" encoding="utf-8"?>
<sst xmlns="http://schemas.openxmlformats.org/spreadsheetml/2006/main" count="40" uniqueCount="33">
  <si>
    <t>Əlavə Məlumatlar</t>
  </si>
  <si>
    <t>CƏM</t>
  </si>
  <si>
    <t>ƏDV 18 %</t>
  </si>
  <si>
    <t>ÇATDIRILMA</t>
  </si>
  <si>
    <t>DİGƏR</t>
  </si>
  <si>
    <t>YEKUN</t>
  </si>
  <si>
    <t>ədəd</t>
  </si>
  <si>
    <t xml:space="preserve">                                                  </t>
  </si>
  <si>
    <t>N</t>
  </si>
  <si>
    <t>Məhsul</t>
  </si>
  <si>
    <t>Təklif edilən məhsul</t>
  </si>
  <si>
    <t>Ölçü Vahidi</t>
  </si>
  <si>
    <t>Miqdar</t>
  </si>
  <si>
    <t>Qiymət</t>
  </si>
  <si>
    <t>Cəmi</t>
  </si>
  <si>
    <t>Stok sayı</t>
  </si>
  <si>
    <t>metr</t>
  </si>
  <si>
    <t>2kVA Online Rack UPS (1P/1P, PF0.9, 18min)</t>
  </si>
  <si>
    <t>1U Rack PDU 6xSchuko 16A 250V</t>
  </si>
  <si>
    <r>
      <t xml:space="preserve">1U Rack Patch Panel Cat6A 24P F/UTP </t>
    </r>
    <r>
      <rPr>
        <b/>
        <sz val="16"/>
        <color rgb="FF333333"/>
        <rFont val="Times New Roman"/>
        <family val="1"/>
      </rPr>
      <t>(Digitus, Legrand, Recber)</t>
    </r>
  </si>
  <si>
    <r>
      <t xml:space="preserve">RJ 45 Cat6 23 AWG </t>
    </r>
    <r>
      <rPr>
        <b/>
        <sz val="16"/>
        <color rgb="FF333333"/>
        <rFont val="Times New Roman"/>
        <family val="1"/>
      </rPr>
      <t>(Digitus, Legrand, Recber, ETK, Hunka, Beek )</t>
    </r>
  </si>
  <si>
    <r>
      <t xml:space="preserve">Patch Cord cat6a, Ethernet patch cord cat6 F/UTP cable 0.50 m LSZH </t>
    </r>
    <r>
      <rPr>
        <b/>
        <sz val="16"/>
        <color theme="1"/>
        <rFont val="Times New Roman"/>
        <family val="1"/>
      </rPr>
      <t>( Legrand, Digidus, Beek, Recber )</t>
    </r>
  </si>
  <si>
    <r>
      <t xml:space="preserve">Rack Dolabı İP 65 12U 600x800 (2 fans+1 shelf ) </t>
    </r>
    <r>
      <rPr>
        <b/>
        <sz val="16"/>
        <color theme="1"/>
        <rFont val="Times New Roman"/>
        <family val="1"/>
      </rPr>
      <t>(Dude / Estap / Lande/ )</t>
    </r>
  </si>
  <si>
    <r>
      <t xml:space="preserve">Optic kabel "Fiber Optic cabel LSZH 12 lifli,Zirehli,troslu,Single Mode OS2 </t>
    </r>
    <r>
      <rPr>
        <b/>
        <sz val="16"/>
        <color theme="1"/>
        <rFont val="Times New Roman"/>
        <family val="1"/>
      </rPr>
      <t>(Legrand / Digitus/ Beek / Hunka)</t>
    </r>
  </si>
  <si>
    <r>
      <t xml:space="preserve">1U Cat6A 24P F/UTP Shielded Keystone Patch Panel </t>
    </r>
    <r>
      <rPr>
        <b/>
        <sz val="16"/>
        <color theme="1"/>
        <rFont val="Times New Roman"/>
        <family val="1"/>
      </rPr>
      <t>(Digitus, Legrand, Recber, ETK, Hunka, Beek)</t>
    </r>
  </si>
  <si>
    <r>
      <t xml:space="preserve">Kabel organizer Horizontal Closed Cover Finger Duct Cable Management Panel </t>
    </r>
    <r>
      <rPr>
        <b/>
        <sz val="16"/>
        <color theme="1"/>
        <rFont val="Times New Roman"/>
        <family val="1"/>
      </rPr>
      <t>(Digitus, Legrand, Recber, ETK, Hunka, Beek)</t>
    </r>
  </si>
  <si>
    <t>VOLTAM VA-20  2KVA/2000W  48VDC Rack Mount  Online UPS</t>
  </si>
  <si>
    <t>VOLTAM PD-01 6 way EU type PDU</t>
  </si>
  <si>
    <t>PATCH PANEL PP-03 19 Inch 1u 24 port Cat6 Utp patch panel with 1*back shelf, 110IDC</t>
  </si>
  <si>
    <t>DATALINK CAT6 - LAN KABEL 0,5M ( BLACK )</t>
  </si>
  <si>
    <t>VOLTAM - VR-6612 - 12U  Rack Cabin 600x600x650 mm Wall mounted</t>
  </si>
  <si>
    <t>VOLTAM - VK-12 ( 1U Horizontal Kabel Organayzer )</t>
  </si>
  <si>
    <t>DATALINK RJ45 - CAT6 CONNECTOR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</si>
</sst>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* #,##0.00\ [$₼-42C]_-;\-* #,##0.00\ [$₼-42C]_-;_-* &quot;-&quot;??\ [$₼-42C]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color rgb="FF333333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33333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D5E5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2" fillId="0" borderId="0" xfId="0" applyFont="1"/>
    <xf numFmtId="165" fontId="0" fillId="0" borderId="0" xfId="0" applyNumberFormat="1"/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0" fillId="0" borderId="1" xfId="1" applyNumberFormat="1" applyFont="1" applyBorder="1"/>
    <xf numFmtId="165" fontId="0" fillId="0" borderId="0" xfId="1" applyNumberFormat="1" applyFont="1"/>
    <xf numFmtId="0" fontId="9" fillId="0" borderId="1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0" fillId="2" borderId="1" xfId="1" applyNumberFormat="1" applyFont="1" applyFill="1" applyBorder="1"/>
    <xf numFmtId="0" fontId="4" fillId="2" borderId="1" xfId="1" applyNumberFormat="1" applyFont="1" applyFill="1" applyBorder="1"/>
    <xf numFmtId="0" fontId="0" fillId="0" borderId="0" xfId="1" applyNumberFormat="1" applyFont="1"/>
    <xf numFmtId="0" fontId="9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165" fontId="15" fillId="3" borderId="1" xfId="0" applyNumberFormat="1" applyFont="1" applyFill="1" applyBorder="1" applyAlignment="1">
      <alignment horizontal="center"/>
    </xf>
    <xf numFmtId="165" fontId="15" fillId="3" borderId="1" xfId="1" applyNumberFormat="1" applyFont="1" applyFill="1" applyBorder="1" applyAlignment="1">
      <alignment horizontal="center"/>
    </xf>
    <xf numFmtId="0" fontId="15" fillId="3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5" fontId="0" fillId="4" borderId="1" xfId="1" applyNumberFormat="1" applyFont="1" applyFill="1" applyBorder="1"/>
    <xf numFmtId="165" fontId="4" fillId="5" borderId="1" xfId="1" applyNumberFormat="1" applyFont="1" applyFill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D5E5F3"/>
      <color rgb="FFDEEBF6"/>
      <color rgb="FFEAF3FA"/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8C4C33-6EEE-4E57-8BBA-0BD683F0AFBD}"/>
            </a:ext>
          </a:extLst>
        </xdr:cNvPr>
        <xdr:cNvSpPr txBox="1"/>
      </xdr:nvSpPr>
      <xdr:spPr>
        <a:xfrm>
          <a:off x="6225540" y="121920"/>
          <a:ext cx="868680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92530</xdr:colOff>
      <xdr:row>0</xdr:row>
      <xdr:rowOff>312498</xdr:rowOff>
    </xdr:from>
    <xdr:to>
      <xdr:col>1</xdr:col>
      <xdr:colOff>4604658</xdr:colOff>
      <xdr:row>0</xdr:row>
      <xdr:rowOff>1459978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E2CA-3876-42F4-A576-4CEA0B4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7" y="312498"/>
          <a:ext cx="4512128" cy="1147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70" zoomScaleNormal="70" workbookViewId="0">
      <selection activeCell="B10" sqref="B10"/>
    </sheetView>
  </sheetViews>
  <sheetFormatPr defaultRowHeight="15"/>
  <cols>
    <col min="1" max="1" width="6" style="6" customWidth="1"/>
    <col min="2" max="2" width="113.42578125" style="2" customWidth="1"/>
    <col min="3" max="3" width="89.2851562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19.28515625" style="10" customWidth="1"/>
    <col min="8" max="8" width="15.85546875" style="24" customWidth="1"/>
    <col min="9" max="9" width="8.85546875" customWidth="1"/>
  </cols>
  <sheetData>
    <row r="1" spans="1:8" ht="138" customHeight="1">
      <c r="A1" s="39" t="s">
        <v>7</v>
      </c>
      <c r="B1" s="40"/>
      <c r="C1" s="40"/>
      <c r="D1" s="40"/>
      <c r="E1" s="40"/>
      <c r="F1" s="40"/>
      <c r="G1" s="41"/>
      <c r="H1" s="21"/>
    </row>
    <row r="2" spans="1:8" ht="25.15" customHeight="1">
      <c r="A2" s="25" t="s">
        <v>8</v>
      </c>
      <c r="B2" s="26" t="s">
        <v>9</v>
      </c>
      <c r="C2" s="27" t="s">
        <v>10</v>
      </c>
      <c r="D2" s="27" t="s">
        <v>11</v>
      </c>
      <c r="E2" s="26" t="s">
        <v>12</v>
      </c>
      <c r="F2" s="28" t="s">
        <v>13</v>
      </c>
      <c r="G2" s="29" t="s">
        <v>14</v>
      </c>
      <c r="H2" s="30" t="s">
        <v>15</v>
      </c>
    </row>
    <row r="3" spans="1:8" ht="21">
      <c r="A3" s="11">
        <v>1</v>
      </c>
      <c r="B3" s="19" t="s">
        <v>17</v>
      </c>
      <c r="C3" s="17" t="s">
        <v>26</v>
      </c>
      <c r="D3" s="12" t="s">
        <v>6</v>
      </c>
      <c r="E3" s="4">
        <v>1</v>
      </c>
      <c r="F3" s="5">
        <v>375</v>
      </c>
      <c r="G3" s="37">
        <f t="shared" ref="G3:G11" si="0">SUM(E3*F3)</f>
        <v>375</v>
      </c>
      <c r="H3" s="22"/>
    </row>
    <row r="4" spans="1:8" ht="21">
      <c r="A4" s="11">
        <v>2</v>
      </c>
      <c r="B4" s="20" t="s">
        <v>18</v>
      </c>
      <c r="C4" s="17" t="s">
        <v>27</v>
      </c>
      <c r="D4" s="12" t="s">
        <v>6</v>
      </c>
      <c r="E4" s="4">
        <v>1</v>
      </c>
      <c r="F4" s="5">
        <v>21</v>
      </c>
      <c r="G4" s="37">
        <f t="shared" si="0"/>
        <v>21</v>
      </c>
      <c r="H4" s="22"/>
    </row>
    <row r="5" spans="1:8" ht="24.6" customHeight="1">
      <c r="A5" s="11">
        <v>3</v>
      </c>
      <c r="B5" s="19" t="s">
        <v>19</v>
      </c>
      <c r="C5" s="17" t="s">
        <v>28</v>
      </c>
      <c r="D5" s="12" t="s">
        <v>6</v>
      </c>
      <c r="E5" s="4">
        <v>1</v>
      </c>
      <c r="F5" s="5">
        <v>51.09</v>
      </c>
      <c r="G5" s="37">
        <f t="shared" si="0"/>
        <v>51.09</v>
      </c>
      <c r="H5" s="22"/>
    </row>
    <row r="6" spans="1:8" ht="21">
      <c r="A6" s="11">
        <v>4</v>
      </c>
      <c r="B6" s="19" t="s">
        <v>20</v>
      </c>
      <c r="C6" s="17" t="s">
        <v>32</v>
      </c>
      <c r="D6" s="12" t="s">
        <v>6</v>
      </c>
      <c r="E6" s="4">
        <v>30</v>
      </c>
      <c r="F6" s="5">
        <v>0.17</v>
      </c>
      <c r="G6" s="37">
        <f t="shared" si="0"/>
        <v>5.1000000000000005</v>
      </c>
      <c r="H6" s="22"/>
    </row>
    <row r="7" spans="1:8" ht="41.25">
      <c r="A7" s="11">
        <v>5</v>
      </c>
      <c r="B7" s="20" t="s">
        <v>21</v>
      </c>
      <c r="C7" s="17" t="s">
        <v>29</v>
      </c>
      <c r="D7" s="12" t="s">
        <v>6</v>
      </c>
      <c r="E7" s="4">
        <v>20</v>
      </c>
      <c r="F7" s="5">
        <v>1.6</v>
      </c>
      <c r="G7" s="37">
        <f t="shared" si="0"/>
        <v>32</v>
      </c>
      <c r="H7" s="22"/>
    </row>
    <row r="8" spans="1:8" ht="21">
      <c r="A8" s="11">
        <v>6</v>
      </c>
      <c r="B8" s="20" t="s">
        <v>22</v>
      </c>
      <c r="C8" s="17" t="s">
        <v>30</v>
      </c>
      <c r="D8" s="12" t="s">
        <v>6</v>
      </c>
      <c r="E8" s="4">
        <v>1</v>
      </c>
      <c r="F8" s="5">
        <v>100.87</v>
      </c>
      <c r="G8" s="37">
        <f t="shared" si="0"/>
        <v>100.87</v>
      </c>
      <c r="H8" s="22"/>
    </row>
    <row r="9" spans="1:8" ht="41.25">
      <c r="A9" s="11">
        <v>7</v>
      </c>
      <c r="B9" s="20" t="s">
        <v>23</v>
      </c>
      <c r="C9" s="17"/>
      <c r="D9" s="12" t="s">
        <v>16</v>
      </c>
      <c r="E9" s="4">
        <v>350</v>
      </c>
      <c r="F9" s="5"/>
      <c r="G9" s="37">
        <f t="shared" si="0"/>
        <v>0</v>
      </c>
      <c r="H9" s="22"/>
    </row>
    <row r="10" spans="1:8" ht="41.25">
      <c r="A10" s="11">
        <v>8</v>
      </c>
      <c r="B10" s="20" t="s">
        <v>24</v>
      </c>
      <c r="C10" s="17"/>
      <c r="D10" s="12" t="s">
        <v>6</v>
      </c>
      <c r="E10" s="4">
        <v>2</v>
      </c>
      <c r="F10" s="5"/>
      <c r="G10" s="37">
        <f t="shared" si="0"/>
        <v>0</v>
      </c>
      <c r="H10" s="22"/>
    </row>
    <row r="11" spans="1:8" ht="41.25">
      <c r="A11" s="11">
        <v>9</v>
      </c>
      <c r="B11" s="20" t="s">
        <v>25</v>
      </c>
      <c r="C11" s="17" t="s">
        <v>31</v>
      </c>
      <c r="D11" s="12" t="s">
        <v>6</v>
      </c>
      <c r="E11" s="4">
        <v>2</v>
      </c>
      <c r="F11" s="5">
        <v>7</v>
      </c>
      <c r="G11" s="37">
        <f t="shared" si="0"/>
        <v>14</v>
      </c>
      <c r="H11" s="22"/>
    </row>
    <row r="12" spans="1:8" ht="25.15" customHeight="1">
      <c r="A12" s="31"/>
      <c r="B12" s="32" t="s">
        <v>0</v>
      </c>
      <c r="C12" s="33"/>
      <c r="D12" s="34"/>
      <c r="E12" s="7" t="s">
        <v>1</v>
      </c>
      <c r="F12" s="1"/>
      <c r="G12" s="37">
        <f>SUM(G3:G11)</f>
        <v>599.06000000000006</v>
      </c>
      <c r="H12" s="22"/>
    </row>
    <row r="13" spans="1:8" ht="25.15" customHeight="1">
      <c r="A13" s="13"/>
      <c r="B13" s="18"/>
      <c r="C13" s="14"/>
      <c r="D13" s="14"/>
      <c r="E13" s="7" t="s">
        <v>2</v>
      </c>
      <c r="F13" s="1"/>
      <c r="G13" s="9">
        <f>SUM(G12*0.18)</f>
        <v>107.83080000000001</v>
      </c>
      <c r="H13" s="22"/>
    </row>
    <row r="14" spans="1:8" ht="25.15" customHeight="1">
      <c r="A14" s="13"/>
      <c r="B14" s="18"/>
      <c r="C14" s="14"/>
      <c r="D14" s="14"/>
      <c r="E14" s="7" t="s">
        <v>3</v>
      </c>
      <c r="F14" s="1"/>
      <c r="G14" s="9"/>
      <c r="H14" s="22"/>
    </row>
    <row r="15" spans="1:8" ht="25.15" customHeight="1">
      <c r="A15" s="31"/>
      <c r="B15" s="35"/>
      <c r="C15" s="36"/>
      <c r="D15" s="36"/>
      <c r="E15" s="7" t="s">
        <v>4</v>
      </c>
      <c r="F15" s="1"/>
      <c r="G15" s="9"/>
      <c r="H15" s="22"/>
    </row>
    <row r="16" spans="1:8" ht="25.15" customHeight="1">
      <c r="A16" s="15"/>
      <c r="B16" s="16"/>
      <c r="E16" s="8" t="s">
        <v>5</v>
      </c>
      <c r="F16" s="1"/>
      <c r="G16" s="38">
        <f>SUM(G12:G13)</f>
        <v>706.89080000000013</v>
      </c>
      <c r="H16" s="23"/>
    </row>
    <row r="17" spans="1:2" ht="25.15" customHeight="1">
      <c r="A17" s="15"/>
      <c r="B17" s="16"/>
    </row>
    <row r="18" spans="1:2" ht="25.15" customHeight="1"/>
    <row r="19" spans="1:2" ht="25.15" customHeight="1"/>
    <row r="20" spans="1:2" ht="25.15" customHeight="1"/>
    <row r="21" spans="1:2" ht="25.15" customHeight="1"/>
    <row r="22" spans="1:2" ht="25.15" customHeight="1"/>
    <row r="23" spans="1:2" ht="24" customHeight="1"/>
    <row r="24" spans="1:2" ht="25.9" customHeight="1"/>
    <row r="25" spans="1:2" ht="24.6" customHeight="1"/>
    <row r="26" spans="1:2" ht="24" customHeight="1"/>
    <row r="27" spans="1:2" ht="24" customHeight="1"/>
    <row r="28" spans="1:2" ht="23.45" customHeight="1"/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Gulbadam Tamrazova</cp:lastModifiedBy>
  <dcterms:created xsi:type="dcterms:W3CDTF">2026-03-02T07:12:30Z</dcterms:created>
  <dcterms:modified xsi:type="dcterms:W3CDTF">2026-04-15T06:02:15Z</dcterms:modified>
</cp:coreProperties>
</file>