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zeyneb.alamova\Desktop\"/>
    </mc:Choice>
  </mc:AlternateContent>
  <xr:revisionPtr revIDLastSave="0" documentId="8_{7DF911FE-7FDD-4E0B-A8EB-857734CE6283}" xr6:coauthVersionLast="47" xr6:coauthVersionMax="47" xr10:uidLastSave="{00000000-0000-0000-0000-000000000000}"/>
  <bookViews>
    <workbookView xWindow="-108" yWindow="-108" windowWidth="23256" windowHeight="12456" activeTab="1" xr2:uid="{00000000-000D-0000-FFFF-FFFF00000000}"/>
  </bookViews>
  <sheets>
    <sheet name="İHC" sheetId="1" r:id="rId1"/>
    <sheet name="Sheet1" sheetId="2" r:id="rId2"/>
  </sheets>
  <definedNames>
    <definedName name="_xlnm._FilterDatabase" localSheetId="0" hidden="1">İHC!$I$1:$I$65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8" i="2" l="1"/>
  <c r="H32" i="2"/>
  <c r="H31" i="2"/>
  <c r="H30" i="2"/>
  <c r="H27" i="2"/>
  <c r="H26" i="2"/>
  <c r="H25" i="2"/>
  <c r="H24" i="2"/>
  <c r="H23" i="2"/>
  <c r="H22" i="2"/>
  <c r="H21" i="2"/>
  <c r="H20" i="2"/>
  <c r="H19" i="2"/>
  <c r="H18" i="2"/>
  <c r="H17" i="2"/>
  <c r="H16" i="2"/>
  <c r="H15" i="2"/>
  <c r="H14" i="2"/>
  <c r="H13" i="2"/>
  <c r="H12" i="2"/>
  <c r="H11" i="2"/>
  <c r="H10" i="2"/>
  <c r="H9" i="2"/>
  <c r="H8" i="2"/>
  <c r="H7" i="2"/>
  <c r="H6" i="2"/>
  <c r="H5" i="2"/>
  <c r="H4" i="2"/>
  <c r="H3" i="2"/>
  <c r="H2" i="2"/>
  <c r="H34" i="2" l="1"/>
  <c r="H35" i="2" s="1"/>
  <c r="H36" i="2" s="1"/>
  <c r="H67"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2" i="1"/>
  <c r="H68" i="1" l="1"/>
  <c r="H69" i="1" s="1"/>
</calcChain>
</file>

<file path=xl/sharedStrings.xml><?xml version="1.0" encoding="utf-8"?>
<sst xmlns="http://schemas.openxmlformats.org/spreadsheetml/2006/main" count="454" uniqueCount="219">
  <si>
    <t>№</t>
  </si>
  <si>
    <t>Adı</t>
  </si>
  <si>
    <t>Ətraflı təsviri</t>
  </si>
  <si>
    <t>Miqdar</t>
  </si>
  <si>
    <t>Ölçü vahidi</t>
  </si>
  <si>
    <t>Seçim 1</t>
  </si>
  <si>
    <t>Alternativ</t>
  </si>
  <si>
    <t>Kompüter</t>
  </si>
  <si>
    <t>Kompüter dəsti ATX standart korpuslu (monoblok olmasın); CPU minimum 10 Core 3GHz; ana platada HDMI və Display Port; RAM minimum 16 GB; SSD 512 GB; 1 ədəd minimum 24 düym, Full HD (1920×1080), DisplayPort və HDMI girişli monitor; 1 ədəd klaviatura; 1 ədəd optik maus; 2 ədəd EU tipli güc kabeli (monitor adapterlə təchiz olunubsa 1 ədəd); 1 ədəd Display kabeli təmin edilməlidir. Minimum 2025 model</t>
  </si>
  <si>
    <t>dəst</t>
  </si>
  <si>
    <t>TechPro (HP)</t>
  </si>
  <si>
    <t>Kompüter dəsti ATX standart korpuslu (monoblok olmasın); CPU minimum 10 Core 3GHz; ana platada HDMI və Display Port; RAM minimum 16 GB; SSD 512 GB; GPU minimum 6GB; 2 ədəd minimum 27 düym, Full HD (1920×1080), DisplayPort və HDMI girişli monitor; 1 ədəd klaviatura; 1 ədəd optik maus; 3 ədəd EU tipli güc kabeli (monitor adapterlə təchiz olunubsa 1 ədəd); 2 ədəd Display kabeli təmin edilməlidir. Minimum 2025 model</t>
  </si>
  <si>
    <t>STRIX (Dubay)</t>
  </si>
  <si>
    <t>Kompüter dəsti ATX standart korpuslu (monoblok olmasın); CPU minimum 12 Core 3.2GHz; ana platada HDMI və Display Port; RAM minimum 16 GB; SSD 512 GB; GPU minimum 8GB; 2 ədəd minimum 27 düym, Full HD (1920×1080), DisplayPort və HDMI girişli monitor; 1 ədəd klaviatura; 1 ədəd optik maus; 3 ədəd EU tipli güc kabeli (monitor adapterlə təchiz olunubsa 1 ədəd); 2 ədəd Display kabeli təmin edilməlidir. Minimum 2025 model</t>
  </si>
  <si>
    <t>Monitor</t>
  </si>
  <si>
    <t>Monitor ən azı 24 düym və Full HD (1920×1080) genişliyində olmalıdır; HDMI və VGA girişləri olmalıdır; 1 ədəd HDMI kabeli; 1 ədəd EU tipli güc kabeli (monitor adapterlə təchiz olunubsa ehtiyac yoxdur) təmin edilməlidir.Minimum 2025 model</t>
  </si>
  <si>
    <t>ədəd</t>
  </si>
  <si>
    <t>Noutbuk</t>
  </si>
  <si>
    <t>Ekran ölçüsü ən azı 13.4 düym, genişliyi ən azı WQXGA (2560×1600) və sensor (touchscreen) xüsusiyyətli olmalıdır; noutbuk ayrılan klaviaturalı (detachable) və ya ekvivalent 2-in-1 quruluşunda, həmçinin daxili dayaq (kickstand) və qələm dəstəyi ilə təchiz edilməlidir; prosessor ən azı 14-cü nəsil  Intel Core i7 (və ya ekvivalenti) və minimum 16 nüvəli olmalıdır; qrafik göstərici ən azı 4 GB VRAM səviyyəsində performansa malik (inteqrə edilmiş və ya ayrılmış) olmalıdır; operativ yaddaş ən azı 32 GB RAM (LPDDR5/DDR5 və ya ekvivalent); daimi yaddaş ən azı 1 TB M.2 NVMe SSD; portlar kimi yüksək sürətli USB Type-C, ən azı 1 ədəd USB Type-A və DisplayPort olmalıdır; sensor ekranla uyğun və təzyiq həssaslığına malik qələm (stylus), ən azı 5 düyməli simsiz maus və uyğun ölçüdə çanta daxil edilməlidir; ən azı 1 il zəmanət. Minimum 2025 model</t>
  </si>
  <si>
    <t>Dubay (Microsoft Surface)</t>
  </si>
  <si>
    <t>Ekran ölçüsü minimum 15.6 düym, 2560x1600; CPU minimum 16 Core 3.2 Ghz; GPU minimum 6 GB VRAM ; RAM 32 GB; SSD 512GB M.2 NVMe; portlar kimi yüksək sürətli USB Type-C, ən azı 1 ədəd USB Type-A, HDMI və ya DisplayPort, şəbəkə portu (LAN/Ethernet) olmalıdır; 1 ədəd Bluetooth maus və uyğun ölçüdə çanta daxil edilməlidir; ən azı 1 il zəmanət. Minimum 2025 model</t>
  </si>
  <si>
    <t>STRIX-Dubay (Lenovo)</t>
  </si>
  <si>
    <t>Televizor</t>
  </si>
  <si>
    <t>SMART TV ekran ölçüsü ən azı 43 düym (110 sm) olmalıdır; təsvir keyfiyyəti ən azı 4K (Ultra HD) genişliyini dəstəkləməlidir; avadanlıqda HDMI girişi mövcud olmalıdır.</t>
  </si>
  <si>
    <t>BakuElectronics (Samsung)</t>
  </si>
  <si>
    <t>Printer</t>
  </si>
  <si>
    <t>Avadanlıq A4 formatlı ağ-qara çap, skan və surətçıxarma funksiyalarına malik çoxfunksiyalı (3-ü 1-ində) printer olmalıdır; çap sürəti ən azı 30 səhifə/dəqiqə təşkil etməlidir; bağlantı üçün USB, Ethernet və Wi-Fi interfeyslərini dəstəkləməlidir; idarəetmə üçün rəqəmsal panel və ya sensor ekranla təchiz edilməlidir; katricin çap resursu ən azı 3000 vərəq (ağ-qara) və tipi doldurula bilən (refillable) olmalıdır; avtomatik sənəd ötürücü (ADF) funksiyasına malik olmalıdır; avtomatik ikiüzlü çapı (dupleks) dəstəkləməlidir.</t>
  </si>
  <si>
    <t>DiVi (Canon)</t>
  </si>
  <si>
    <t>STRIX-Dubay (Pantum)</t>
  </si>
  <si>
    <t>Avadanlıq A4 formatlı rəngli və ağ-qara çap, skan və surətçıxarma funksiyalarına malik çoxfunksiyalı (3-ü 1-ində) printer olmalıdır; çap sürəti həm ağ-qara, həm də rəngli rejimdə ən azı 25 səhifə/dəqiqə təşkil etməlidir; bağlantı üçün USB, Ethernet və Wi-Fi interfeyslərini dəstəkləməlidir; idarəetmə üçün ən azı 4 düym ölçüsündə sensor idarəetmə paneli ilə təchiz edilməlidir; katricin çap resursu rəngli və ağ-qara çap üçün ən azı 3000 vərəq olmalı və tipi doldurula bilən (refillable) olmalıdır; avtomatik sənəd ötürücü (ADF) funksiyasına malik olmalıdır; avtomatik ikiüzlü çapı (dupleks) dəstəkləməlidir.</t>
  </si>
  <si>
    <t>Avadanlıq A3 və A4 formatlarını dəstəkləyən ağ-qara çap, skan və surətçıxarma funksiyalarına malik çoxfunksiyalı (3-ü 1-ində) printer olmalıdır; çap sürəti A4 formatı üçün ən azı 35 səhifə/dəqiqə təşkil etməlidir; katricin çap resursu ən azı 70.000 vərəq olmalı və tipi doldurula bilən (refillable) olmalıdır; avadanlıq ən azı 200 vərəq tutumlu təkkeçidli ikiüzlü avtomatik sənəd ötürücü (single-pass duplex ADF) ilə təchiz edilməli, skan sürəti təküzlü üçün ən azı 135 ipm, ikiüzlü üçün isə ən azı 270 ipm olmalı və A3, A4, A5, B4 daxil olmaqla xüsusi ölçüləri dəstəkləməlidir; idarəetmə üçün sensor panel ilə təchiz edilməlidir; bağlantı və məlumat ötürülməsi üçün Ethernet şəbəkəsini, SMB, FTP, WebDAV və e-mailə göndərmə funksiyalarını dəstəkləməlidir; avtomatik ikiüzlü çapı və skanı (duplex) dəstəkləməlidir; kağız tutumu standart olaraq ən azı 1100 vərəq təşkil etməlidir (opsional genişləndirilmə imkanı ilə); faks funksiyası opsional olmalıdır.</t>
  </si>
  <si>
    <t>XeroPC (Xerox)</t>
  </si>
  <si>
    <t>ERC (Xerox)</t>
  </si>
  <si>
    <t>Avadanlıq A3 və A4 formatlarını dəstəkləyən rəngli və ağ-qara çap, skan və surətçıxarma funksiyalarına malik çoxfunksiyalı (3-ü 1-ində) printer olmalıdır; çap sürəti A4 formatı üçün ən azı 35 səhifə/dəqiqə təşkil etməlidir; katricin çap resursu ağ-qara üçün ən azı 70.000 vərəq, rəngli (C/M/Y) üçün isə ən azı 60.000 vərəq olmalı və tipi doldurula bilən (refillable) olmalıdır; avadanlıq ən azı 200 vərəq tutumlu təkkeçidli ikiüzlü avtomatik sənəd ötürücü (single-pass duplex ADF) ilə təchiz edilməli, skan sürəti təküzlü üçün ən azı 135 ipm, ikiüzlü üçün isə ən azı 270 ipm olmalı və A3, A4, A5, B4 daxil olmaqla xüsusi ölçüləri dəstəkləməlidir; idarəetmə üçün sensor panel ilə təchiz edilməlidir; bağlantı və məlumat ötürülməsi üçün Ethernet şəbəkəsini, SMB, FTP, WebDAV və e-mailə göndərmə funksiyalarını dəstəkləməlidir; avtomatik ikiüzlü çapı və skanı (duplex) dəstəkləməlidir; kağız tutumu standart olaraq ən azı 1100 vərəq təşkil etməlidir (opsional genişləndirilmə imkanı ilə); faks funksiyası opsional olmalıdır.</t>
  </si>
  <si>
    <t>Halal-P (Konica)</t>
  </si>
  <si>
    <t>Skaner</t>
  </si>
  <si>
    <t>Avadanlıq A4 formatlı sənədlər üçün nəzərdə tutulmuş və həm təküzlü (simplex), həm də ikiüzlü (duplex) oxuma qabiliyyətinə malik masaüstü skaner olmalıdır; skan sensoru CMOS CIS texnologiyasına və ən azı 600 dpi optik genişliyə malik olmalıdır; skan sürəti ən azı 25 ppm (təküzlü) və 50 ipm (ikiüzlü) təşkil etməlidir; bağlantı üçün USB 2.0 interfeysini dəstəkləməlidir; avtomatik sənəd ötürücünün (ADF) tutumu ən azı 45 vərəq olmalıdır; tövsiyə edilən gündəlik iş yükü 1000 - 2500 skan aralığında olmalıdır; sənəd ölçüləri kimi A4 formatını və uzunluğu 3000 mm-ə qədər olan sənədləri dəstəkləməlidir; kağızın sıxlığı 40 – 209 g/m² aralığında olmalı və plastik kartların skanını dəstəkləməlidir; avadanlıqda avtomatik ölçü təyini (auto-size), əyriliyin düzəldilməsi (deskew), boş səhifələrin atılması (blank skip), rənglərin avtomatik tanınması, fon və kölgə təmizləmə kimi avtomatik funksiyalar mövcud olmalıdır; həm Windows, həm də macOS əməliyyat sistemləri ilə tam uyğunluq təşkil etməlidir.</t>
  </si>
  <si>
    <t>DiVi (Epson)</t>
  </si>
  <si>
    <t>IP Telefon (adapetri daxil)</t>
  </si>
  <si>
    <t>Zetron (Yealink)</t>
  </si>
  <si>
    <t>Kart oxuyucu</t>
  </si>
  <si>
    <t>Kart oxuyucu avadanlıq USB 2.0 Full Speed (Type-A) interfeysinə və Plug &amp; Play (CCID) dəstəyinə malik olmalıdır; ISO/IEC 7816 Class A, B və C (5V, 3V, 1.8V) standartlarını dəstəkləməlidir; T=0, T=1 və PPS protokolları ilə işləməlidir; smart-kart, CAC, SIPRNET Card, MyKad, J-LIS, e-İmza PKI kartları və yaddaş (memory) kartlarını oxuma qabiliyyətinə malik olmalıdır; qısaqapanmadan qorunma (Short-Circuit Protection) təhlükəsizlik xüsusiyyəti mövcud olmalıdır; proqram təminatı interfeysi (API) kimi PC/SC və CT-API dəstəkləməlidir; Windows, Linux, macOS, iOS, iPadOS, Android və Solaris əməliyyat sistemləri ilə tam uyğun işləməlidir.</t>
  </si>
  <si>
    <t>Dubay (Identiv)</t>
  </si>
  <si>
    <t>Dubay (Omnikey)</t>
  </si>
  <si>
    <t>Switch</t>
  </si>
  <si>
    <t>Avadanlıq ən azı 8 ədəd 10/100/1000 Mbps RJ45 PoE+ portuna (downlink) malik olmalıdır; uplink portları olaraq 2 ədəd 10G SFP+ (fiber optik) və 2 ədəd 1G RJ45 portu mövcud olmalıdır; ümumi PoE enerji büdcəsi ən azı 240W təşkil etməli və hər port üçün maksimum 30W gücü dəstəkləməlidir; kommutasiya qabiliyyəti (switching capacity) ən azı 60 Gbps, paket ötürmə sürəti (forwarding rate) isə 44.64 Mpps olmalıdır; ən azı 315W daxili qida bloku (fixed AC) ilə təchiz edilməlidir; səssiz iş rejimini təmin etmək üçün fensiz (fanless) dizayna malik olmalıdır; proqram təminatı lisenziyası "Network Advantage (-A)" səviyyəsində olmalıdır; AES-256 MACsec şifrələməsi və siyasət əsaslı seqmentasiya (policy-based segmentation) təhlükəsizlik funksiyalarını dəstəkləməlidir; Layer 3 səviyyəsində OSPF, EIGRP, ISIS, RIP və marşrutlaşdırılmış giriş (routed access) protokollarını dəstəkləməlidir.</t>
  </si>
  <si>
    <t>Gulfstream (Cisco)</t>
  </si>
  <si>
    <t>TechPro (Aruba)</t>
  </si>
  <si>
    <t>Avadanlıq ən azı 12 ədəd 1 Gigabit Ethernet PoE+ RJ45 downlink portuna malik olmalıdır; uplink portları olaraq 2 ədəd 10 Gigabit Ethernet SFP+ və 2 ədəd 1 Gigabit Ethernet RJ45 portu mövcud olmalıdır; ümumi PoE enerji büdcəsi ən azı 240W təşkil etməli, eyni zamanda 8 portda 30W (802.3at) və ya 4 portda 60W (802.3bt) gücü dəstəkləməlidir; kommutasiya qabiliyyəti (switching capacity) ən azı 68 Gbps, paket ötürmə sürəti (forwarding rate) isə 50.59 Mpps olmalıdır; ən azı 4 GB DRAM və 8 GB Flash yaddaşa malik olmalıdır; ən azı 315W daxili qida bloku (Fixed AC) ilə təchiz edilməli və səssiz işləmə üçün fensiz (fanless) dizayna malik olmalıdır; proqram təminatı lisenziyası "Network Advantage (-A)" səviyyəsində olmalıdır.</t>
  </si>
  <si>
    <t>Avadanlıq ən azı 24 ədəd 10/100/1000BASE-T PoE+ RJ45 downlink portuna malik olmalıdır; uplink portları olaraq 4 ədəd 10G/1G SFP+ sabit portu mövcud olmalıdır; ümumi PoE enerji büdcəsi standart olaraq ən azı 505W AC təşkil etməlidir; kommutasiya qabiliyyəti (switching capacity) tək cihaz üçün ən azı 128 Gbps olmalı, "StackWise-320" texnologiyası vasitəsilə 8 ədəd cihazın steklənməsini (stacking) dəstəkləməlidir; proqram təminatı lisenziyası "Network Advantage" səviyyəsində olmalıdır; ən azı 16 MB paket bufer (packet buffer) yaddaşına malik olmalıdır.</t>
  </si>
  <si>
    <t>AEM (Ruijie)</t>
  </si>
  <si>
    <t>Planşet</t>
  </si>
  <si>
    <t>Planşetin ekran ölçüsü ən azı 12 düym, ən azı IPS LCD texnologiyalı və 120 Hz yenilənmə tezliyinə malik olmalıdır; prosessor ən azı 8 nüvəli (Octa-Core) olmalıdır; operativ yaddaş ən azı 8 GB RAM təşkil etməlidir; daimi yaddaş ən azı 256 GB olmalıdır; 2.4/5 GHz tezlikli Wi-Fi şəbəkələrini dəstəkləməlidir; SİM kart (LTE) dəstəyi opsional olaraq qəbul edilə bilər; USB Type-C portu ilə təchiz edilməlidir; ən azı 8 MP göstəriciyə malik ön və arxa kameraları olmalıdır; microSD kart vasitəsilə yaddaşın genişləndirilməsi imkanı opsional olmalıdır; ən azı 10.000 mAh tutumlu litium batareya ilə təchiz edilməlidir; ən azı 35W gücündə sürətli şarjı dəstəkləməlidir.</t>
  </si>
  <si>
    <t>XiaomiAzerbaijan (Xiaomi)</t>
  </si>
  <si>
    <t>Barkod printeri</t>
  </si>
  <si>
    <t>Avadanlıq termal (Direct Thermal) çap metoduna malik barkod printeri olmalıdır; çap eni və dəstəklənən termal rulon kağızın ölçüsü 80 mm olmalıdır; çap sürəti 160-200 mm/s aralığında təşkil etməlidir; çap genişliyi 203 dpi olmalıdır; bağlantı üçün USB interfeysi ilə təchiz edilməlidir (LAN, Bluetooth və ya Wi-Fi interfeysləri opsional olaraq qəbul edilə bilər); kağızın asan yerləşdirilməsi üçün "drop-in" mexanizminə malik olmalıdır; avtomatik kağız kəsimi (bıçaq) funksiyası ilə təchiz edilməlidir; 1D (CODE128, EAN, UPC və s.) və 2D (QR) barkod formatlarını dəstəkləməlidir; Windows, Linux və Android əməliyyat sistemləri ilə tam uyğun işləməli və ESC/POS əmrlər sistemini dəstəkləməlidir.</t>
  </si>
  <si>
    <t>(Xprinter)</t>
  </si>
  <si>
    <t>Cisco adapter</t>
  </si>
  <si>
    <t>Cisco CP7811 İP Telefonu üçün original adapter.</t>
  </si>
  <si>
    <t>Dubay (Cisco)</t>
  </si>
  <si>
    <t>SSD disk</t>
  </si>
  <si>
    <t>500GB SATA III 2.5" Internal SSD</t>
  </si>
  <si>
    <t>Qulaqlıq</t>
  </si>
  <si>
    <t>Qulaqlığın dinamik ölçüsü ən azı 30 mm, tezlik diapazonu 20–20.000 Hz (və ya daha geniş) və müqaviməti 32 Ω olmalıdır; mikrofon küyboğma (noise-canceling) xüsusiyyətli və ikiyönlü (bi-directional) olmalı, 100–10.000 Hz (və ya daha geniş) tezliyi dəstəkləməlidir; həssaslıq dinamik üçün ən azı 94 dB, mikrofon üçün isə təxminən −17 dBV/Pa təşkil etməlidir; bağlantı USB (USB-A və ya USB-C) interfeysi ilə olmalı, kabelin üzərində səsi tənzimləmək və mikrofonu bağlamaq (mute) üçün idarəetmə pultu mövcud olmalı, kabel uzunluğu isə ən azı 1.9 metr təşkil etməlidir; əlavə proqram təminatı tələb etmədən (Plug &amp; Play) Windows, macOS və ChromeOS əməliyyat sistemləri ilə tam uyğun işləməlidir; korpus materialı dözümlü plastik, silikon və ya metaldan ibarət olmalı, uzunmüddətli istifadə zamanı rahatlıq üçün erqonomik qulaqlıq yastıqcıqları ilə təchiz edilməlidir.</t>
  </si>
  <si>
    <t>Divi (Logitech)</t>
  </si>
  <si>
    <t>ITech (Jabra)</t>
  </si>
  <si>
    <t>Veb-kamera</t>
  </si>
  <si>
    <t>Veb-kameranın çəkiliş keyfiyyəti ən azı 1080p/30 fps (Full HD) genişliyini dəstəkləməlidir; kamera sensoru ən azı 3 MP təşkil etməlidir; avtomatik fokuslama (autofocus) funksiyasına malik olmalı və linzası şüşədən ibarət olmalıdır; ən azı 1 metr məsafədən səsi qəbul edə bilən quraşdırılmış stereo mikrofonla təchiz edilməlidir; diaqonal görüş bucağı (dFoV) ən azı 78° təşkil etməlidir; ən azı 1.2x rəqəmsal yaxınlaşdırma (zoom) xüsusiyyəti mövcud olmalıdır; monitora və ya digər səthlərə rahat quraşdırılması üçün universal montaj klipinə və ştativ (tripod) dəstəyinə malik olmalıdır.</t>
  </si>
  <si>
    <t>Dubay (Logitech)</t>
  </si>
  <si>
    <t>Maus və Klaviatura dəsti</t>
  </si>
  <si>
    <t>Avadanlıq simsiz klaviatura və maus dəstindən ibarət olmalıdır; klaviatura tam ölçülü (NumPad bölməli) olmalı və səssiz (scissor və ya ekvivalent) klavişlərlə təchiz edilməlidir; klaviaturada multimedia və proqramlaşdırıla bilən düymələr, həmçinin hündürlüyü tənzimləmə imkanı olmalıdır; maus optik (və ya ekvivalent) sensora malik olmalı və həssaslığı ən azı 1600 DPI təşkil etməlidir; mausda ən azı 5 düymə (sol, sağ, orta, irəli və geri) və şaquli sürüşdürmə (scroll) çarxı olmalıdır; cihazların bağlantısı 2.4 GHz simsiz (USB alıcı vasitəsilə) və ya Bluetooth interfeysi ilə təmin edilməli, iş məsafəsi ən azı 10 metr olmalıdır (çoxlu cihaza eyni anda qoşulma xüsusiyyəti arzuolunandır); enerji təminatı olaraq klaviatura üçün AAA və ya AA, maus üçün isə AA tipli batareyalardan istifadə edilməlidir; avadanlıqlara minimum 1 il zəmanət verilməlidir.</t>
  </si>
  <si>
    <t>Divi (Logitech-Lenovo)</t>
  </si>
  <si>
    <t>Dubay (Rapoo)</t>
  </si>
  <si>
    <t>RAM</t>
  </si>
  <si>
    <t>RAM DDR5 32GB 8000MHz DIMM</t>
  </si>
  <si>
    <t>Dubay</t>
  </si>
  <si>
    <t>Daxili Bazar</t>
  </si>
  <si>
    <t>RAM DDR3 4GB 1600MHz DIMM</t>
  </si>
  <si>
    <t>RAM DDR4 4GB 2666MHz DIMM</t>
  </si>
  <si>
    <t>Qida bloku</t>
  </si>
  <si>
    <t>Avadanlıq 800 W real çıxış gücünə malik qida bloku olmalıdır; enerji effektivliyi üzrə ən azı 80 PLUS Bronze sertifikatına malik olmalı və səmərəliliyi minimum 82–85% təşkil etməlidir; 100–240V AC (50/60 Hz) gərginliyi dəstəkləməlidir; avtomatik tənzimlənən 120 mm və ya 140 mm səssiz fanla təchiz edilməlidir; gərginlik və qısaqapanmadan qorunmaq üçün OVP, OCP, SCP, OPP və UVP qoruma sistemləri mövcud olmalıdır; konnektorlar olaraq 1 ədəd 24-pin ATX, 1 ədəd 8-pin (4+4) CPU EPS, qrafik kart üçün 2 ədəd PCI-E (6+2), 4 ədəd SATA və 2 ədəd Molex (IDE) ilə təmin edilməlidir; kabellər qoruyucu örtüklü (sleeve) və ya yarım-modulyar tipli olmalıdır; metal və istilik keçirməyən korpusa malik olmalı, ATX standartlı korpus və ana platalarla tam uyğun işləməlidir. EU başlıqlı</t>
  </si>
  <si>
    <t>CheckİT(Aigo)</t>
  </si>
  <si>
    <t>VGA to HDMI</t>
  </si>
  <si>
    <t xml:space="preserve"> VGA-dan  HDMI-a Kabel:
Kabelin uzunluğu ən azı 2 metr olmalıdır; Ən azı Full HD (1920×1080) @ 60Hz görüntü keyfiyyətini tam dəstəkləməlidir; Səsin ötürülməsini təmin etmək üçün mütləq daxili 3.5 mm AUX audio kabeli mövcud olmalıdır; Windows və macOS əməliyyat sistemləri ilə əlavə drayver tələb etmədən (Plug &amp; Play) tam uyğun işləməlidir. </t>
  </si>
  <si>
    <t>CheckIT</t>
  </si>
  <si>
    <t>DVI to HDMI</t>
  </si>
  <si>
    <t>DVI - dan HDMI-a Kabel:
Kabelin ümumi uzunluğu ən azı 2 metr olmalıdır; Ən azı Full HD (1920×1080) @ 60Hz görüntü keyfiyyətini təmin etməlidir; Windows və macOS əməliyyat sistemləri ilə əlavə drayver tələb etmədən (Plug &amp; Play) tam uyğun işləməlidir.</t>
  </si>
  <si>
    <t>VGA to Display</t>
  </si>
  <si>
    <t>VGA-dan DisplayPorta  Kabel:
Kabelin uzunluğu ən azı 2 metr olmalıdır; Ən azı Full HD (1920×1080) @ 60Hz görüntü keyfiyyətini tam dəstəkləməlidir; Səsin ötürülməsini təmin etmək üçün daxili 3.5 mm audio kabeli və ya inteqrasiya olunmuş audio dəstəyi olmalıdır; Windows və macOS əməliyyat sistemləri ilə əlavə drayver tələb etmədən (Plug &amp; Play) tam uyğun işləməlidir.</t>
  </si>
  <si>
    <t>Display kabel</t>
  </si>
  <si>
    <t xml:space="preserve">DisplayPort Kabeli:
Kabelin uzunluğu tam ən azı 2 metr olmalıdır; Ən azı DisplayPort 1.4 (və ya daha yüksək) standartını dəstəkləməlidir; 8K (7680×4320) @ 60Hz və ya 4K (3840×2160) @ 144Hz görüntü keyfiyyətini tam təmin etməlidir; </t>
  </si>
  <si>
    <t>Termo yastıq</t>
  </si>
  <si>
    <t>Termo yastıq (Thermal Pad) – 1 mm (100x100 mm):
Ölçüləri ən azı 100x100 mm olmalı və qalınlığı tam 1 mm təşkil etməlidir; İstilik keçiriciliyi (Thermal Conductivity) yüksək məhsuldarlıqlı soyutma üçün ən azı 6 W/mK (və ya daha yüksək) olmalıdır; Materialı yumşaq və elastik silikon əsaslı olmalı, komponentlərin üzərinə tam oturaraq boşluqları doldurmalıdır; Elektrik keçirməyən (non-conductive) və korroziyaya səbəb olmayan materialdan hazırlanmalıdır; Uzunmüddətli istifadə zamanı sızmamalı, qurumamalı və performansını itirməməlidir; Lazımi ölçülərdə kəsilməsi asan olmalı və hər iki tərəfi qoruyucu plyonka ilə örtülməlidir; İşləmə temperatur diapazonu -40°C ilə +200°C aralığında stabil qalmalıdır.</t>
  </si>
  <si>
    <t>ON-OFF</t>
  </si>
  <si>
    <t>USB to LAN</t>
  </si>
  <si>
    <t>USB 3.1 Type-C Gigabit Ethernet adapteri</t>
  </si>
  <si>
    <t>TYPE-c to USB</t>
  </si>
  <si>
    <t>USB 3.1 Type-C - Type-A adapteri</t>
  </si>
  <si>
    <t>Adapter</t>
  </si>
  <si>
    <t>Avadanlıq noutbuklar üçün nəzərdə tutulmuş universal qida adapteri olmalıdır; maksimum çıxış gücü ən azı 90W təşkil etməlidir; beynəlxalq standartlara uyğun AC 100-240V (50-60Hz) giriş gərginliyini dəstəkləməlidir; çıxış gərginliyi (DC) 15V ilə 20V aralığında avtomatik tənzimlənən və ya başlıqlara uyğun olmalıdır; müxtəlif noutbuk markaları (HP, Dell, Lenovo, Acer, ASUS, Samsung, Toshiba və s.) ilə uyğunluğu təmin etmək üçün dəstə ən azı 12–15 ədəd dəyişdirilə bilən başlıq daxil edilməlidir; təhlükəsizlik üçün qısaqapanma (SCP), həddindən artıq gərginlik (OVP) və yüksək cərəyandan (OCP) qorunma sistemlərinə malik olmalıdır; AC və DC kabelləri daxil olmaqla ümumi kabel uzunluğu ən azı 1.8 metr təşkil etməlidir.</t>
  </si>
  <si>
    <t>Amazon</t>
  </si>
  <si>
    <t>RJ-45 başlıq</t>
  </si>
  <si>
    <t>Cat6 RJ45 Konnektor (Qabağı açıq / Pass-Through):
Kateqoriya Cat6 (UTP) standartlı RJ45 olmalıdır; Dizaynı Pass-Through (kabel uclarının konnektorun daxilindən keçməsinə imkan verən açıq uclu) tipli olmalıdır; Korpusu şəffaf polikarbonat materialdan hazırlanmalıdır; Kontaktları korroziyaya davamlı nikel və ya standart bürünc örtüklü olmalıdır; Montaj zamanı artıq qalan kabel uclarının xüsusi alətlə kəsilməsini təmin edən quruluşda olmalıdır; Gigabit Ethernet (1000 Mbps) şəbəkə sürətini tam dəstəkləməlidir.  Məhsul qutu daxilində təqdim edilməli və bir qutuda ən azı 100 ədəd konnektor olmalıdır.</t>
  </si>
  <si>
    <t>qutu</t>
  </si>
  <si>
    <t>RJ45 Konnektor Cat6 (Standart/Bağlı uclu)</t>
  </si>
  <si>
    <t>Şəbəkə kabeli</t>
  </si>
  <si>
    <t>Şəbəkə kabeli F/UTP Cat6 (Folqalı)</t>
  </si>
  <si>
    <t>m</t>
  </si>
  <si>
    <t>ABV</t>
  </si>
  <si>
    <t>Optik kabel</t>
  </si>
  <si>
    <t>Single-mode optik kabel — 8 nüvəli (SM fiber, uzun məsafə ötürmə üçün)</t>
  </si>
  <si>
    <t>AEM/ Compusale</t>
  </si>
  <si>
    <t>Sonlama qutusu</t>
  </si>
  <si>
    <t>Fiber-optik Sonlama Qutusu (Wall-mount FDB) – 8 portlu</t>
  </si>
  <si>
    <t>Fiber-optik Sonlama Qutusu (Wall-mount FDB) – 16 portlu</t>
  </si>
  <si>
    <t>Fiber-optik Sonlama Paneli (Rack-mount ODF) – 8 portlu</t>
  </si>
  <si>
    <t>Fiber-optik Sonlama Paneli (Rack-mount ODF) – 16 portlu</t>
  </si>
  <si>
    <t>Optik mufta</t>
  </si>
  <si>
    <t>Fiber-optik Birləşmə Muftası (Horizontal/In-line tipli) – 16-lıq</t>
  </si>
  <si>
    <t>Optik qilza</t>
  </si>
  <si>
    <t>Optik qoruyucu giliz (Splice Sleeve) – 60 mm</t>
  </si>
  <si>
    <t>Videokart</t>
  </si>
  <si>
    <t>Videoyaddaş tutumu ən azı 8 GB GDDR6 olmalıdır; Yaddaş interfeysi ən azı 128-bit olmalıdır; Baza tezliyi (Base Clock) ən azı 1.8 GHz təşkil etməlidir; Çıxış portları ən azı 1 ədəd HDMI və 3 ədəd DisplayPort olmalıdır; Maksimal qətnamə dəstəyi ən azı 4K (3840×2160) olmalıdır; Şin interfeysi PCI Express x16 standartını dəstəkləməlidir; Aktiv fanlı soyutma sistemi ilə təchiz edilməlidir; CE və ya FCC beynəlxalq sertifikatlarına malik olmalıdır; Məhsula minimum 1 il rəsmi zəmanət verilməlidir.</t>
  </si>
  <si>
    <t>Portable SSD</t>
  </si>
  <si>
    <t>Yaddaş tutumu ən azı 2 TB olmalıdır; Qoşulma interfeysi USB 3.2 Gen 2 standartını dəstəkləməlidir; Standart kompüter portlarına qoşulmaq üçün dəstə mütləq USB Type-A və USB Type-C keçidli olmalıdır; Ardıcıl oxuma sürəti ən azı 900 MB/s, ardıcıl yazma sürəti ən azı 800 MB/s təşkil etməlidir; Korpusu portativ və zərbəyə davamlı (məsələn, rezinləşdirilmiş və ya möhkəm alüminium) materialdan hazırlanmalıdır; Cihazın çəkisi yüngül və daşınabilir olmalıdır; Windows və macOS əməliyyat sistemləri ilə Plug &amp; Play (drayversiz) işləməlidir; Məhsula minimum 1 il rəsmi zəmanət verilməlidir.</t>
  </si>
  <si>
    <t>Flash Kart</t>
  </si>
  <si>
    <t>Tutum ən azı 128 GB olmalıdır; Qoşulma interfeysi USB 3.1 və ya daha yüksək (USB 3.2 uyğun qəbul edilir) standartını dəstəkləməlidir; Bağlantı tipi standart USB Type-A olmalıdır; oxuma sürəti ən azı 80 MB/s,yazma sürəti isə ən azı 20 MB/s təşkil etməlidir; Windows, macOS və Linux əməliyyat sistemləri ilə əlavə proqram təminatı tələb etmədən (Plug &amp; Play) tam uyğun işləməlidir</t>
  </si>
  <si>
    <t>CheckIT (Sandisk)</t>
  </si>
  <si>
    <t>Usb Hub</t>
  </si>
  <si>
    <t>Port sayı ən azı 4 ədəd USB Type-A olmalıdır; Qoşulma interfeysi USB 3.0 / 3.1 standartlarını dəstəkləməlidir; Məlumat ötürmə sürəti ən azı 5 Gbps təşkil etməlidir; Kompüterə qoşulma tipi standart USB Type-A (kişi/male) olmalıdır; Əlavə drayver tələb etmədən "Plug &amp; Play" rejimində işləməlidir; Korpusu dözümlü plastik və ya alüminium materialdan hazırlanmalı və kompakt dizayna malik olmalıdır; Məhsula minimum 1 il rəsmi zəmanət verilməlidir.</t>
  </si>
  <si>
    <t>Daxili Bazar (Ugreen/ TP-link...)</t>
  </si>
  <si>
    <t>Termopasta</t>
  </si>
  <si>
    <t>Çəkisi (tutum) ən azı 20 qram olmalıdır; İstilik ötürmə qabiliyyəti yüksək olmalı və GPU (videokart) soyutma sistemləri üçün tam uyğun gəlməlidir; Sıxlığı (Density) 2,5 g/cm³ təşkil etməlidir; Özlülük (Viscosity) dərəcəsi 31.600 poise olmalıdır; Səth üzərində asan və bərabər yayılma qabiliyyətinə malik olmalıdır; Yüksək temperaturlara qarşı dözümlü olmalı və uzunmüddətli istifadə zamanı qurumamalıdır; Elektrik keçiriciliyi olmamalıdır (non-conductive); Şpris (syringe) formalı qablaşdırmada təqdim edilməli və tətbiq üçün xüsusi kürəyi (spatula) mövcud olmalıdır.</t>
  </si>
  <si>
    <t>Ümumi çəkisi ən azı 20 qram (bir və ya bir neçə qablaşdırmada) olmalıdır; Prosessorların (CPU) effektiv soyudulması üçün yüksək istilik keçiriciliyi qabiliyyətinə malik olmalıdır; Sıxlığı (Density) ən azı 2,6 g/cm³ təşkil etməlidir; Özlülük (Viscosity) dərəcəsi 45.000 poise (və ya ekvivalent) olmalı və səth üzərində sabit qalmalıdır; Uzunömürlü istifadə üçün nəzərdə tutulmalı, vaxtından əvvəl qurumamalı və performansını itirməməlidir; Elektrik keçirməyən (non-conductive) və korroziyaya səbəb olmayan materialdan hazırlanmalıdır; Şpris formalı qablaşdırmada təqdim edilməli və asan tətbiq üçün xüsusi paylayıcı kürəyi (spatula) ilə təchiz edilməlidir.</t>
  </si>
  <si>
    <t>Küller</t>
  </si>
  <si>
    <t>Universal tipli prosessor soyuducusu olmalıdır; Intel LGA 1155 / 1156 soketləri ilə tam uyğunluq təşkil etməlidir; Ventilyator (fan) ölçüləri 80 mm / 92 mm / 120 mm (tələbə uyğun) diapazonunda olmalıdır; İş gərginliyi 12V DC təşkil etməlidir; Bağlantı interfeysi 3-pin və ya sürət tənzimlənən 4-pin PWM standartlı olmalıdır; Fanın fırlanma sürəti 1200 – 2500 RPM aralığında tənzimlənməlidir; Maksimal hava axını (Airflow) 40 – 70 CFM təşkil etməlidir; Səs səviyyəsi səssiz işləməni təmin etmək üçün 18 – 28 dB aralığında olmalıdır; Materialı effektiv istilik paylanması üçün alüminium heatsink və dözümlü plastik/metal fan korpusundan ibarət olmalıdır; Rulman tipi (Bearing type) uzunömürlü istifadəni təmin edən Hydraulic və ya Ball Bearing olmalıdır.</t>
  </si>
  <si>
    <t>Rək kabin</t>
  </si>
  <si>
    <t>Hündürlüyü 12U standartında olmalıdır; Genişliyi və dərinliyi ən azı 600x450 mm (və ya 600x600 mm) təşkil etməlidir; Standart 19 düymlük (19") avadanlıqların montajı üçün uyğun olmalıdır; Ön qapısı zərbəyə davamlı temperli şüşədən ibarət olmalı və kilidləmə mexanizmi (açarlı) ilə təchiz edilməlidir; Yan panelləri asan texniki xidmət üçün açılan və çıxarılan konstruksiyaya malik olmalıdır; Üst hissəsində ən azı 1 və ya 2 ədəd soyutma fanı üçün yer və ya quraşdırılmış ventilyasiya sistemi olmalıdır; Korpusu korroziyaya davamlı elektrostatik toz boya ilə örtülmüş polad materialdan hazırlanmalıdır; Kabel girişləri üçün üst və alt hissədə xüsusi dəliklər mövcud olmalıdır; Divara montaj üçün lazım olan bərkidici elementlər dəstə daxil edilməlidir.</t>
  </si>
  <si>
    <t>AEM/ Compusale/ Premier</t>
  </si>
  <si>
    <t>Server (rack mountable)</t>
  </si>
  <si>
    <t>Ən azı 2 ədəd, hər biri minimum 20 nüvəli və 2.3 GHz tezlikli mərkəzi prosessor (CPU) ilə təchiz edilməlidir; Operativ yaddaş (RAM) ən azı 128 GB DDR5 ECC olmalıdır və gələcəkdə yaddaşın artırılması üçün ümumi RAM slotlarının ən azı 50%-i boş qalmalıdır; Daimi yaddaş üçün ən azı 4 ədəd, hər biri minimum 1.92 TB tutumlu Enterprise SSD disklər daxil edilməlidir; Disk massivinin idarə olunması üçün ən azı 2 GB keş (Flash-backed write cache) yaddaşa malik Hardware RAID 0/1/5/6/10 kontrolleri olmalıdır; Şəbəkə bağlantısı üçün ən azı 4 ədəd 1 GbE portu və xarici yaddaş sistemlərinə (SAN) qoşulma üçün hərəsi 2 portlu 2 ədəd ayrı PCİ 16 Gb FC adapter olmalıdır; Serverin ölçüsü maksimal 2U (Rack-mount) olmalıdır; Təhlükəsizlik üçün TPM 2.0 modulu və kəsintisiz iş üçün ehtiyatlı (1+1 Redundant) Hot-Plug dəstəkli PSU ilə təmin edilməlidir; Serverin uzaqdan monitorinqi və idarəetməsi üçün lisenziyalı uzaqdan idarəetmə modulu mövcud olmalıdır; Dəstə 2 ədəd 3 metrlik LC-LC optik kabel və 4 ədəd 16 Gb FC transiver daxil edilməlidir; Serverin kabinetə bərkidilməsi üçün orijinal montaj relsləri (Rail Kit) daxil edilməlidir; Məhsula ən azı 3 il yerindəcə (on-site) rəsmi zəmanət, ehtiyat hissələri və texniki dəstək xidməti daxil edilməlidir.</t>
  </si>
  <si>
    <t>MUK (Dell)</t>
  </si>
  <si>
    <t>TechPro/ DiVi (HPE / Lenovo)</t>
  </si>
  <si>
    <t>Storage (rack mountable)</t>
  </si>
  <si>
    <t>Yaddaş sistemi yüksək əlçatanlığı təmin etmək üçün Dual-controller (aktiv-aktiv rejimli iki kontroller) arxitekturasına malik olmalıdır; Kontrollerlərin hər biri ən azı 32 GB (ümumi 64 GB) keş yaddaşı ilə təchiz edilməlidir; Sistemin faydalı yaddaş tutumu (usable capacity) RAID konfiqurasiyasından sonra ən azı 200 TB təşkil etməlidir; Qurğu ən azı 24 ədəd SFF (2.5") disk yuvasına malik olmalı və gələcəkdə əlavə disk rəflərinin (Expansion enclosure) qoşulmasını dəstəkləməlidir; SAS və SATA interfeysli disklərin eyni vaxtda istifadəsini dəstəkləməlidir; RAID 0/1/5/6/10 səviyyələrini dəstəkləyən aparat tipli kontrollerə malik olmalıdır; Xarici qoşulma üçün ən azı 4 ədəd 16 Gb FC (Fibre Channel) portu mövcud olmalı və dəstə uyğun sayda SFP+ transiverlər daxil edilməlidir; RAID 10 konfiqurasiyasında oxuma sürəti ən azı 48.000 IOPS təşkil etməlidir; Enerji təchizatı kəsintisiz iş üçün ehtiyatlı (1+1 Redundant) Hot-Plug dəstəkli PSU ilə təmin edilməlidir; Sistemin idarə olunması üçün Web-based management (brauzer üzərindən idarəetmə) interfeysi və monitorinq proqram təminatı mövcud olmalıdır; Server kabinetinə bərkidilməsi üçün orijinal montaj relsləri (Rail Kit) daxil edilməlidir; Məhsula ən azı 3 il rəsmi zəmanət, ehtiyat hissələri və texniki dəstək xidməti daxil edilməlidir.</t>
  </si>
  <si>
    <t xml:space="preserve">SC LC PATCH CORD 1 </t>
  </si>
  <si>
    <t>Optik keçid kabeli (Patch Cord) SC-LC SM Simplex – 1 metr</t>
  </si>
  <si>
    <t xml:space="preserve">SC LC PATCH CORD 3 </t>
  </si>
  <si>
    <t>Optik keçid kabeli (Patch Cord) SC-LC SM Simplex – 3 metr</t>
  </si>
  <si>
    <t>kat 6 kabel</t>
  </si>
  <si>
    <t>Cat 6 F/UTP standartlı, folqa qorumalı və 23 AWG təmiz mis naqilli şəbəkə kabeli (Category 6 F/UTP Shielded Network Cable).</t>
  </si>
  <si>
    <t>metr</t>
  </si>
  <si>
    <t>Sfp modul</t>
  </si>
  <si>
    <t xml:space="preserve"> SFP Transiver Modulu:
Qoşulma interfeysi SFP standartında olmalıdır; Məlumat ötürmə sürəti 1 Gbps (Gigabit Ethernet) təşkil etməlidir; Ötürmə texnologiyası 1000BASE-LX standartına uyğun olmalıdır; Fiber növü təkmodlu (Single-Mode) olmalı və həmçinin çoxmodlu (Multi-mode) liflərlə (müəyyən məsafələrdə) işləyə bilməlidir; Təkmodlu fiber üzərindən maksimal işləmə məsafəsi 10 km olmalıdır; Konnektor tipi LC Duplex olmalıdır; Dalğa uzunluğu 1310 nm təşkil etməlidir; HPE Aruba Networking seriyalı sviç (switch) və ruterlərlə tam texniki uyğunluq təşkil etməlidir; Gərginlik və temperaturun monitorinqi üçün rəqəmsal diaqnostika dəstəyinə malik olmalıdır.</t>
  </si>
  <si>
    <t>HDMİ Kabel</t>
  </si>
  <si>
    <t>HDMI Kabel – 10 metr: 
Kabelin uzunluğu 15 metr olmalıdır; Ən azı HDMI 2.0 (və ya daha yüksək) standartını dəstəkləməlidir; 4K (3840×2160) @ 60Hz görüntü keyfiyyətini və HDR texnologiyasını tam təmin etməlidir; Məlumat ötürmə sürəti ən azı 18 Gbps təşkil etməlidir;Konnektorları korroziyaya qarşı davamlı qızıl suyuna çəkilmiş (Gold Plated) olmalıdır; Xarici örtüyü fiziki təsirlərə dözümlü, hörülmüş (Braided) və ya qalın izolasiyalı materialdan hazırlanmalıdır;</t>
  </si>
  <si>
    <t>HDMI Kabel – 15 metr: 
Kabelin uzunluğu 15 metr olmalıdır; Ən azı HDMI 2.0 (və ya daha yüksək) standartını dəstəkləməlidir; 4K (3840×2160) @ 60Hz görüntü keyfiyyətini və HDR texnologiyasını tam təmin etməlidir; Məlumat ötürmə sürəti ən azı 18 Gbps təşkil etməlidir;Konnektorları korroziyaya qarşı davamlı qızıl suyuna çəkilmiş (Gold Plated) olmalıdır; Xarici örtüyü fiziki təsirlərə dözümlü, hörülmüş (Braided) və ya qalın izolasiyalı materialdan hazırlanmalıdır;</t>
  </si>
  <si>
    <t>optik kəsmə aparatı (SKL 6C)</t>
  </si>
  <si>
    <t>Optik kabel kəsmə aparatı:
Yüksək dəqiqlikli optik fiber kəsmə xüsusiyyətinə malik olmalıdır; Kəsmə bucağı meyilliyi orta hesabla 0.5 dərəcədən çox olmamalıdır; Təkli fiberlərin (0.25 mm və 0.9 mm) kəsilməsi üçün uyğun olmalıdır; Kəsici bıçağı ən azı 16 fərqli mövqeyə (position) malik olmalı və ümumilikdə 48.000 kəsim ömrünü təmin etməlidir; Kəsilmiş fiber qırıntılarını toplamaq üçün xüsusi qabı (trash bin) olmalıdır; Dözümlü metal korpusa və daşıma çantasına malik olmalıdır.</t>
  </si>
  <si>
    <t>AEM/ MM Komptel</t>
  </si>
  <si>
    <t>Xray üçün xüsusi elastik, silikonlu optik kabel</t>
  </si>
  <si>
    <t>Xüsusi elastik (High-flex) Fiber Optik Kabel – CFLG.G (6G62.5/125):
Yüksək dinamik hərəkətli tətbiqlər (məsələn zəncirvari kabel yolları) üçün xüsusi dizayna malik olmalıdır; Kabelin daxilində 6 ədəd Multi-mode (62.5/125 µm) fiber optik damar mövcud olmalıdır; Xarici örtüyü (jacket) sürtünməyə, yağlara və kimyəvi təsirlərə davamlı TPE (Termoplastik Elastomer) materialdan hazırlanmalıdır; Kabelin daxili strukturu kəsilməz hərəkət zamanı gərginliyi azaldan xüsusi dayaq lifləri (aramid yarn) ilə gücləndirilməlidir; Əyilmə radiusu (bending radius) hərəkətli tətbiqlərdə kabelin diametrindən ən çox 12.5 dəfə böyük olmalıdır; Halogensiz (LSZH) və alovlanmaya qarşı davamlı olmalıdır; İşləmə temperatur diapazonu -20°C ilə +70°C aralığında stabil qalmalıdır; Uzunmüddətli milyonlarla əyilmə dövrünə (cycle) qarşı zəmanətli performansa malik olmalıdır.</t>
  </si>
  <si>
    <t>2X16 - 32GB Lexar® Ares DDR5 2nd GEN 8000 CL38 Memory with heatsink and RGB lighting, Dual pack, Black Color</t>
  </si>
  <si>
    <t>Model</t>
  </si>
  <si>
    <t>Qiymət (azn)</t>
  </si>
  <si>
    <t>Cəm (azn)</t>
  </si>
  <si>
    <t>Cisco SPA303</t>
  </si>
  <si>
    <t>Kingston Portable SSD 2TB XS1000</t>
  </si>
  <si>
    <t>Palit PCI Express Card Dual GeForce RTX 5050 8GB GDDR6</t>
  </si>
  <si>
    <t>Azimut-Elmir</t>
  </si>
  <si>
    <t>Sahara Electronics</t>
  </si>
  <si>
    <t>Artel 43 Puch 010 google tv 4 k</t>
  </si>
  <si>
    <t>TOPLAM</t>
  </si>
  <si>
    <t>ədv (18%)</t>
  </si>
  <si>
    <t>qiymət</t>
  </si>
  <si>
    <t>SIPT33G WITH PSU</t>
  </si>
  <si>
    <r>
      <t xml:space="preserve">Avadanlıq ən azı 2 xətt/seans (SIP) dəstəkləməlidir; ən azı 3.5 düym ölçüsündə, </t>
    </r>
    <r>
      <rPr>
        <b/>
        <sz val="10"/>
        <color rgb="FFFF0000"/>
        <rFont val="Arial"/>
        <family val="2"/>
      </rPr>
      <t>396 x 162 piksel genişliyində monoxrom</t>
    </r>
    <r>
      <rPr>
        <sz val="10"/>
        <color theme="1"/>
        <rFont val="Arial"/>
        <family val="2"/>
      </rPr>
      <t xml:space="preserve"> LCD ekranla təchiz edilməlidir; istifadəçi interfeysi 4 istiqamətli naviqasiya, seçim düyməsi və 4 ədəd softkey düyməsi ilə təmin edilməlidir; G.711a/u, G.722 (HD səs), G.729ab və </t>
    </r>
    <r>
      <rPr>
        <b/>
        <sz val="10"/>
        <color rgb="FFFF0000"/>
        <rFont val="Arial"/>
        <family val="2"/>
      </rPr>
      <t>iLBC</t>
    </r>
    <r>
      <rPr>
        <sz val="10"/>
        <color theme="1"/>
        <rFont val="Arial"/>
        <family val="2"/>
      </rPr>
      <t xml:space="preserve"> səs kodeklərini dəstəkləməlidir; 1 ədəd RJ-9 analoq qulaqlıq portu olmalıdır; dinamik və mikrofon exo-ləğvetmə (echo cancellation) funksiyalı tam-dupleks rejimdə işləməlidir; 2 ədəd 10/100 Mbps RJ-45 (LAN/PC) Ethernet portuna və IEEE 802.3af (Class 1) standartlı PoE dəstəyinə malik olmalıdır; 802.1Q VLAN tagging və 802.1p, DSCP (QoS) şəbəkə standartlarını dəstəkləməlidir; zəngi saxlama, ötürmə, yönləndirmə, konfrans zəngi və pager (peycer) funksiyaları olmalıdır; lokal və mərkəzləşdirilmiş kontakt dəstəkli telefon kitabçası mövcud olmalıdır; SIP əsaslı VoIP platformaları ilə tam uyğun işləməlidir; TFTP, HTTP, HTTPS vasitəsilə avtomatik konfiqurasiya (provisioning) imkanı olmalıdır; TLS, SRTP və HTTPS protokolları vasitəsilə şifrələmə və təhlükəsizlik qorunmasını təmin etməlidir.</t>
    </r>
  </si>
  <si>
    <t>Gulfstream (CİSCO)</t>
  </si>
  <si>
    <t>Lexar 2.5" SSD-512GB NQ100</t>
  </si>
  <si>
    <t>HDMI Kabel – 15 m
Uzunluq: 15 m
Standart: HDMI 2.0 və ya daha yüksək
Qətnamə: 4K (3840×2160) @ 60Hz, HDR dəstəyi
Bant genişliyi: ≥ 18 Gbps
Konnektorlar: Qızıl örtüklü, korroziyaya davamlı
Xarici örtük: Hörülmüş (Braided) və ya qalın izolyasiyalı, davamlı material</t>
  </si>
  <si>
    <t>HDMI Kabel – 10 m
Uzunluq: 10 m
Standart: HDMI 2.0 və ya daha yüksək
Qətnamə: 4K (3840×2160) @ 60Hz, HDR dəstəyi
Bant genişliyi: ≥ 18 Gbps
Konnektorlar: Qızıl örtüklü, korroziyaya davamlı
Xarici örtük: Hörülmüş (Braided) və ya qalın izolyasiyalı, davamlı material</t>
  </si>
  <si>
    <t>SFP Transiver Modulu
İnterfeys: SFP
Məlumat ötürmə sürəti: 1 Gbps (Gigabit Ethernet)
Standart: 1000BASE-LX
Fiber növü: Təkmodlu (SM), həmçinin çoxmodlu (MM) ilə qısa məsafədə uyğun
Maksimal məsafə (SM): 10 km
Konnektor: LC Duplex
Dalğa uzunluğu: 1310 nm
Uyğunluq: HPE Aruba Networking sviç və ruterlərlə
Rəqəmsal diaqnostika: Gərginlik və temperatur monitorinqi</t>
  </si>
  <si>
    <t>Optik Kabel Kəsmə Aparatı
Yüksək dəqiqlikli optik fiber kəsmə
Kəsmə bucağı: ≤ 0.5°
Uyğun fiber diametri: 0.25 mm və 0.9 mm
Kəsici bıçaq: ≥16 mövqe, 48.000 kəsim ömrü
Fiber qırıntıları üçün qab (trash bin)
Metal korpus və daşıma çantası</t>
  </si>
  <si>
    <t>Cat 6 F/UTP Şəbəkə Kabeli
Standart: Cat 6 F/UTP (Shielded)
Qoruma: Folqa (FTP)
Konduktor: 23 AWG, təmiz mis
Tip: Şəbəkə kabeli</t>
  </si>
  <si>
    <t>Universal Prosessor Soyuducusu
Uyğunluq: Intel LGA 1155 / 1156
Fan ölçüsü: 80 / 92 / 120 mm
İş gərginliyi: 12V DC
Bağlantı: 3-pin və ya 4-pin PWM
Fan sürəti: 1200 – 2500 RPM
Maksimal hava axını: 40 – 70 CFM
Səs səviyyəsi: 18 – 28 dB
Material: Alüminium heatsink + davamlı plastik/metal fan korpusu
Rulman tipi: Hydraulic və ya Ball Bearing</t>
  </si>
  <si>
    <t>CPU Termal Pastası / Soyuducu Macunu
Ümumi çəki: ≥ 20 q
Yüksək istilik keçiriciliyi
Sıxlıq: ≥ 2,6 g/cm³
Özülük (viscosity): 45.000 poise və ya ekvivalent, səthdə sabit qalır
Uzunömürlü, qurumayan performans
Elektrik keçirməyən və korroziyaya səbəb olmayan material
Qablaşdırma: Şpris formalı, spatula ilə tətbiq üçün</t>
  </si>
  <si>
    <t>GPU Termal Pastası / Soyuducu Macunu
Çəki: ≥ 20 q
Yüksək istilik ötürmə qabiliyyəti, GPU soyutma sistemləri üçün uyğun
Sıxlıq: 2,5 g/cm³
Özülük (viscosity): 31.600 poise
Səth üzərində bərabər yayılma qabiliyyəti
Yüksək temperaturda dözümlü, uzunömürlü, qurumayan
Elektrik keçiriciliyi yoxdur (non-conductive)
Qablaşdırma: Şpris, spatula ilə tətbiq üçün</t>
  </si>
  <si>
    <t>USB HUB
Port sayı: ≥ 4 × USB Type-A
Standart: USB 3.0 / 3.1
Məlumat ötürmə sürəti: ≥ 5 Gbps
Qoşulma: USB Type-A (male)
Plug &amp; Play, əlavə drayver tələb olunmur
Korpus: Davamlı plastik və ya alüminium, kompakt dizayn
Zəmanət: Minimum 1 il rəsmi</t>
  </si>
  <si>
    <t>USB Flash Drive
Tutum: ≥ 128 GB
Standart: USB 3.1 və ya daha yüksək (USB 3.2 uyğun)
Qoşulma tipi: USB Type-A
Oxuma sürəti: ≥ 80 MB/s
Yazma sürəti: ≥ 20 MB/s
Plug &amp; Play, əlavə proqram təminatı tələb olunmur
Uyğunluq: Windows, macOS, Linux</t>
  </si>
  <si>
    <t>Cat6 RJ45 Konnektor (Pass-Through)
Standart: Cat6 (UTP), RJ45
Tip: Pass-Through (açıq uclu)
Material: Şəffaf polikarbonat korpus
Kontaktlar: Nikel və ya bürünc örtüklü, korroziyaya davamlı
Montaj: Artıq kabel uclarının kəsilməsi üçün uyğun dizayn
Sürət: Gigabit Ethernet (1000 Mbps) dəstəyi
Qablaşdırma: Qutu, ≥ 100 ədəd</t>
  </si>
  <si>
    <t>Universal Noutbuk Adapteri
Tip: Universal, noutbuklar üçün
Maksimal güc: ≥ 90W
Giriş: AC 100–240V, 50–60Hz
Çıxış: DC 15–20V (avtomatik və ya başlıqlara uyğun)
Uyğunluq: HP, Dell, Lenovo, Acer, ASUS, Samsung, Toshiba və s.
Başlıqlar: ≥ 12–15 ədəd dəyişdirilə bilən
Təhlükəsizlik: SCP, OVP, OCP qorunmaları
Kabel uzunluğu: ≥ 1.8 m (AC + DC)</t>
  </si>
  <si>
    <t>Termo Yastıq (Thermal Pad) – 1 mm (100×100 mm)
Ölçü: ≥ 100 × 100 mm
Qalınlıq: 1 mm
İstilik keçiriciliyi: ≥ 6 W/mK
Material: Silikon əsaslı, yumşaq və elastik
Elektrik keçiriciliyi: Non-conductive, korroziyaya səbəb olmur
Davamlılıq: Quruma və sızmaya qarşı dayanıqlı, uzunömürlü
Emal: Asan kəsilə bilən, hər iki tərəfi qoruyucu plyonka ilə
İşləmə temperaturu: -40°C ~ +200°C</t>
  </si>
  <si>
    <t>DisplayPort Kabeli
Uzunluq: ≥ 2 m
Standart: DisplayPort 1.4 və ya daha yüksək
Qətnamə: 8K (7680×4320) @ 60Hz və ya 4K (3840×2160) @ 144Hz</t>
  </si>
  <si>
    <t>VGA → DisplayPort Kabel (Active)
Uzunluq: ≥ 2 m
Qətnamə: Full HD (1920×1080) @ 60Hz
Audio: 3.5 mm audio kabeli və ya inteqrasiya olunmuş audio dəstəyi
Plug &amp; Play, əlavə drayver tələb olunmur
Uyğunluq: Windows, macOS</t>
  </si>
  <si>
    <t>DVI → HDMI Kabel
Uzunluq: ≥ 2 m
Qətnamə: Full HD (1920×1080) @ 60Hz
Plug &amp; Play, əlavə drayver tələb olunmur
Uyğunluq: Windows, macOS</t>
  </si>
  <si>
    <t>VGA → HDMI Kabel (Active)
Uzunluq: ≥ 2 m
Qətnamə: Full HD (1920×1080) @ 60Hz
Audio: Daxili 3.5 mm AUX kabel
Plug &amp; Play, əlavə drayver tələb olunmur
Uyğunluq: Windows, macOS</t>
  </si>
  <si>
    <t>#</t>
  </si>
  <si>
    <t>Məhsul</t>
  </si>
  <si>
    <t>Uyğunluq tələbi</t>
  </si>
  <si>
    <t>Say</t>
  </si>
  <si>
    <t>Təklif edilən model</t>
  </si>
  <si>
    <t>Qiymət(azn)</t>
  </si>
  <si>
    <t>Cəm(azn)</t>
  </si>
  <si>
    <r>
      <t xml:space="preserve">VOLTAM VH-02 HDMİ1.4 cable 4K 30HZ </t>
    </r>
    <r>
      <rPr>
        <sz val="10"/>
        <color rgb="FFFF0000"/>
        <rFont val="Arial"/>
        <family val="2"/>
      </rPr>
      <t>(25m)</t>
    </r>
  </si>
  <si>
    <r>
      <t xml:space="preserve">VOLTAM VH-10 HDMİ1.4 cable 4K 30HZ </t>
    </r>
    <r>
      <rPr>
        <sz val="10"/>
        <color rgb="FFFF0000"/>
        <rFont val="Arial"/>
        <family val="2"/>
      </rPr>
      <t>(5m)</t>
    </r>
  </si>
  <si>
    <t>TP-Link - TL-SM321A ( Single-mode 1000Base-BX WDM двунаправленный SFP модуль )</t>
  </si>
  <si>
    <t>TP-Link - TL-SM321B ( Single-mode 1000Base-BX WDM двунаправленный SFP модуль )</t>
  </si>
  <si>
    <t>VOLTAM CAT 6 FTP INDOOR HALOGEN FREE  Şəbəkə Kabeli 0.57 mm pure copper +1.0 HDPE +ground wire +Al foil +6.4mm PVC Fluke pass 500-METR</t>
  </si>
  <si>
    <r>
      <t xml:space="preserve">VOLTAM VF-08 SC-LC SIMPLEX UPC SINGLE MODE G652D-PVC-3.0mm PATCH CORD </t>
    </r>
    <r>
      <rPr>
        <sz val="10"/>
        <color rgb="FFFF0000"/>
        <rFont val="Arial"/>
        <family val="2"/>
      </rPr>
      <t>2Metr</t>
    </r>
  </si>
  <si>
    <t>VOLTAM VF-09 SC-LC SIMPLEX UPC SINGLE MODE G652D-PVC-3.0mm PATCH CORD 3Metr</t>
  </si>
  <si>
    <t>TP-Link - UH400 ( USB 3.0 4-Port Portable Hub )</t>
  </si>
  <si>
    <t>VOLTAM VF-154 fiber optic sleeve</t>
  </si>
  <si>
    <t>VOLTAM VF-100 24F CORE  fiber optic dome type splice closure</t>
  </si>
  <si>
    <t>VOLTAM VF-95 8 Port Patch Panel  with 8 pcs SC/UPC Adapter, 8 pcs 0.9mm Pigtail 1.5Metr</t>
  </si>
  <si>
    <t>VOLTAM VF-52 24 Port Patch Panel with 24 pcs SC/UPC Adapter,24 pcs SC/UPC 0.9mm 1.5M Pigtail</t>
  </si>
  <si>
    <t>VOLTAM VF-116 GYXTW-8 core  outdoor  fiber optik kabel  G652D Single Mode</t>
  </si>
  <si>
    <t>TPLİNK RJ45 UTP CAT 6 PAKET (100 PCS)</t>
  </si>
  <si>
    <t>MOBAKS CS-06 OEM QC3.0 CHARGER SET TypeC</t>
  </si>
  <si>
    <t>TP-Link - UE300C ( USB Type-C to RJ45 Gigabit Ethernet Network Adapter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</si>
</sst>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0000"/>
    <numFmt numFmtId="165" formatCode="#,##0.00\ [$₼-42C]"/>
  </numFmts>
  <fonts count="12">
    <font>
      <sz val="11"/>
      <name val="Calibri"/>
      <charset val="134"/>
    </font>
    <font>
      <sz val="10"/>
      <name val="Arial"/>
      <charset val="204"/>
    </font>
    <font>
      <b/>
      <sz val="10"/>
      <color theme="0"/>
      <name val="Arial"/>
      <charset val="204"/>
    </font>
    <font>
      <sz val="10"/>
      <color theme="1"/>
      <name val="Arial"/>
      <charset val="204"/>
    </font>
    <font>
      <b/>
      <sz val="11"/>
      <color rgb="FF000000"/>
      <name val="Calibri"/>
      <charset val="134"/>
    </font>
    <font>
      <sz val="11"/>
      <color rgb="FF000000"/>
      <name val="Calibri"/>
      <charset val="134"/>
    </font>
    <font>
      <b/>
      <sz val="11"/>
      <color rgb="FFFFFFFF"/>
      <name val="Calibri"/>
      <charset val="134"/>
    </font>
    <font>
      <sz val="10"/>
      <name val="Arial"/>
      <family val="2"/>
    </font>
    <font>
      <sz val="10"/>
      <color theme="1"/>
      <name val="Arial"/>
      <family val="2"/>
    </font>
    <font>
      <b/>
      <sz val="10"/>
      <name val="Arial"/>
      <family val="2"/>
    </font>
    <font>
      <b/>
      <sz val="10"/>
      <color rgb="FFFF0000"/>
      <name val="Arial"/>
      <family val="2"/>
    </font>
    <font>
      <sz val="10"/>
      <color rgb="FFFF0000"/>
      <name val="Arial"/>
      <family val="2"/>
    </font>
  </fonts>
  <fills count="6">
    <fill>
      <patternFill patternType="none"/>
    </fill>
    <fill>
      <patternFill patternType="gray125"/>
    </fill>
    <fill>
      <patternFill patternType="solid">
        <fgColor rgb="FF0757BC"/>
        <bgColor indexed="64"/>
      </patternFill>
    </fill>
    <fill>
      <patternFill patternType="solid">
        <fgColor rgb="FFFFFF00"/>
        <bgColor indexed="64"/>
      </patternFill>
    </fill>
    <fill>
      <patternFill patternType="solid">
        <fgColor theme="7" tint="0.79998168889431442"/>
        <bgColor indexed="64"/>
      </patternFill>
    </fill>
    <fill>
      <patternFill patternType="solid">
        <fgColor rgb="FF92D050"/>
        <bgColor indexed="64"/>
      </patternFill>
    </fill>
  </fills>
  <borders count="7">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2">
    <xf numFmtId="0" fontId="0" fillId="0" borderId="0"/>
    <xf numFmtId="0" fontId="4" fillId="0" borderId="2"/>
    <xf numFmtId="0" fontId="5" fillId="0" borderId="2">
      <alignment horizontal="left"/>
      <protection locked="0"/>
    </xf>
    <xf numFmtId="0" fontId="4" fillId="0" borderId="2"/>
    <xf numFmtId="0" fontId="4" fillId="0" borderId="2"/>
    <xf numFmtId="0" fontId="6" fillId="2" borderId="2">
      <alignment horizontal="right"/>
    </xf>
    <xf numFmtId="0" fontId="4" fillId="0" borderId="2"/>
    <xf numFmtId="0" fontId="4" fillId="0" borderId="2"/>
    <xf numFmtId="0" fontId="4" fillId="0" borderId="2"/>
    <xf numFmtId="0" fontId="4" fillId="0" borderId="2"/>
    <xf numFmtId="0" fontId="4" fillId="0" borderId="2"/>
    <xf numFmtId="0" fontId="4" fillId="0" borderId="2"/>
  </cellStyleXfs>
  <cellXfs count="55">
    <xf numFmtId="0" fontId="0" fillId="0" borderId="0" xfId="0"/>
    <xf numFmtId="0" fontId="1" fillId="0" borderId="0" xfId="0" applyFont="1" applyAlignment="1" applyProtection="1">
      <alignment horizontal="left" vertical="center"/>
      <protection locked="0"/>
    </xf>
    <xf numFmtId="164" fontId="1" fillId="0" borderId="0" xfId="0" applyNumberFormat="1" applyFont="1" applyAlignment="1" applyProtection="1">
      <alignment horizontal="center" vertical="center"/>
      <protection locked="0"/>
    </xf>
    <xf numFmtId="164" fontId="1" fillId="0" borderId="0" xfId="0" applyNumberFormat="1" applyFont="1" applyAlignment="1">
      <alignment vertical="center" wrapText="1"/>
    </xf>
    <xf numFmtId="0" fontId="1" fillId="0" borderId="0" xfId="0" applyFont="1"/>
    <xf numFmtId="164" fontId="1" fillId="0" borderId="0" xfId="0" applyNumberFormat="1" applyFont="1"/>
    <xf numFmtId="0" fontId="2" fillId="2" borderId="1" xfId="5" applyFont="1" applyBorder="1" applyAlignment="1" applyProtection="1">
      <alignment horizontal="left" vertical="center" wrapText="1"/>
      <protection locked="0"/>
    </xf>
    <xf numFmtId="164" fontId="2" fillId="2" borderId="1" xfId="5" applyNumberFormat="1" applyFont="1" applyBorder="1" applyAlignment="1" applyProtection="1">
      <alignment horizontal="center" vertical="center" wrapText="1"/>
      <protection locked="0"/>
    </xf>
    <xf numFmtId="0" fontId="3" fillId="0" borderId="1" xfId="2" applyFont="1" applyBorder="1" applyAlignment="1">
      <alignment horizontal="left" vertical="center" wrapText="1"/>
      <protection locked="0"/>
    </xf>
    <xf numFmtId="164" fontId="3" fillId="0" borderId="1" xfId="2" applyNumberFormat="1" applyFont="1" applyBorder="1" applyAlignment="1">
      <alignment horizontal="center" vertical="center" wrapText="1"/>
      <protection locked="0"/>
    </xf>
    <xf numFmtId="164" fontId="1" fillId="4" borderId="1" xfId="0" applyNumberFormat="1" applyFont="1" applyFill="1" applyBorder="1" applyAlignment="1">
      <alignment vertical="center" wrapText="1"/>
    </xf>
    <xf numFmtId="0" fontId="3" fillId="0" borderId="1" xfId="0" applyFont="1" applyBorder="1" applyAlignment="1" applyProtection="1">
      <alignment horizontal="left" vertical="center"/>
      <protection locked="0"/>
    </xf>
    <xf numFmtId="164" fontId="3" fillId="0" borderId="1" xfId="0" applyNumberFormat="1" applyFont="1" applyBorder="1" applyAlignment="1" applyProtection="1">
      <alignment horizontal="center" vertical="center"/>
      <protection locked="0"/>
    </xf>
    <xf numFmtId="164" fontId="1" fillId="0" borderId="1" xfId="0" applyNumberFormat="1" applyFont="1" applyFill="1" applyBorder="1" applyAlignment="1">
      <alignment vertical="center" wrapText="1"/>
    </xf>
    <xf numFmtId="164" fontId="1" fillId="0" borderId="0" xfId="0" applyNumberFormat="1" applyFont="1" applyFill="1" applyAlignment="1">
      <alignment vertical="center" wrapText="1"/>
    </xf>
    <xf numFmtId="165" fontId="1" fillId="0" borderId="1" xfId="0" applyNumberFormat="1" applyFont="1" applyFill="1" applyBorder="1" applyAlignment="1">
      <alignment vertical="center" wrapText="1"/>
    </xf>
    <xf numFmtId="164" fontId="7" fillId="0" borderId="1" xfId="0" applyNumberFormat="1" applyFont="1" applyFill="1" applyBorder="1" applyAlignment="1">
      <alignment vertical="center" wrapText="1"/>
    </xf>
    <xf numFmtId="0" fontId="2" fillId="2" borderId="1" xfId="5" applyFont="1" applyBorder="1" applyAlignment="1" applyProtection="1">
      <alignment horizontal="left" vertical="top" wrapText="1"/>
      <protection locked="0"/>
    </xf>
    <xf numFmtId="164" fontId="3" fillId="0" borderId="1" xfId="0" applyNumberFormat="1" applyFont="1" applyBorder="1" applyAlignment="1">
      <alignment horizontal="left" vertical="top" wrapText="1"/>
    </xf>
    <xf numFmtId="0" fontId="3" fillId="0" borderId="0" xfId="0" applyFont="1" applyAlignment="1">
      <alignment horizontal="left" vertical="top" wrapText="1"/>
    </xf>
    <xf numFmtId="164" fontId="8" fillId="0" borderId="1" xfId="0" applyNumberFormat="1" applyFont="1" applyBorder="1" applyAlignment="1">
      <alignment horizontal="left" vertical="top" wrapText="1"/>
    </xf>
    <xf numFmtId="0" fontId="3" fillId="0" borderId="1" xfId="2" applyFont="1" applyBorder="1" applyAlignment="1">
      <alignment horizontal="left" vertical="top" wrapText="1"/>
      <protection locked="0"/>
    </xf>
    <xf numFmtId="0" fontId="1" fillId="0" borderId="0" xfId="0" applyFont="1" applyAlignment="1" applyProtection="1">
      <alignment horizontal="left" vertical="top"/>
      <protection locked="0"/>
    </xf>
    <xf numFmtId="0" fontId="7" fillId="0" borderId="0" xfId="0" applyFont="1"/>
    <xf numFmtId="0" fontId="7" fillId="0" borderId="0" xfId="0" applyFont="1" applyAlignment="1">
      <alignment horizontal="right"/>
    </xf>
    <xf numFmtId="0" fontId="7" fillId="0" borderId="0" xfId="0" applyFont="1" applyAlignment="1">
      <alignment horizontal="right" vertical="center"/>
    </xf>
    <xf numFmtId="164" fontId="7" fillId="5" borderId="1" xfId="0" applyNumberFormat="1" applyFont="1" applyFill="1" applyBorder="1" applyAlignment="1">
      <alignment vertical="center" wrapText="1"/>
    </xf>
    <xf numFmtId="0" fontId="7" fillId="0" borderId="1" xfId="0" applyFont="1" applyFill="1" applyBorder="1" applyAlignment="1">
      <alignment horizontal="right" vertical="center" wrapText="1"/>
    </xf>
    <xf numFmtId="0" fontId="7" fillId="0" borderId="1" xfId="0" applyFont="1" applyFill="1" applyBorder="1" applyAlignment="1">
      <alignment horizontal="right" vertical="center"/>
    </xf>
    <xf numFmtId="164" fontId="7" fillId="3" borderId="1" xfId="0" applyNumberFormat="1" applyFont="1" applyFill="1" applyBorder="1" applyAlignment="1">
      <alignment vertical="center" wrapText="1"/>
    </xf>
    <xf numFmtId="0" fontId="1" fillId="0" borderId="1" xfId="0" applyFont="1" applyFill="1" applyBorder="1" applyAlignment="1">
      <alignment horizontal="right" vertical="center" wrapText="1"/>
    </xf>
    <xf numFmtId="0" fontId="1" fillId="0" borderId="0" xfId="0" applyFont="1" applyFill="1" applyAlignment="1">
      <alignment horizontal="right" vertical="center" wrapText="1"/>
    </xf>
    <xf numFmtId="0" fontId="7" fillId="0" borderId="1" xfId="0" applyFont="1" applyFill="1" applyBorder="1" applyAlignment="1">
      <alignment horizontal="center" vertical="center"/>
    </xf>
    <xf numFmtId="164" fontId="9" fillId="0" borderId="3" xfId="0" applyNumberFormat="1" applyFont="1" applyFill="1" applyBorder="1" applyAlignment="1">
      <alignment vertical="center" wrapText="1"/>
    </xf>
    <xf numFmtId="165" fontId="9" fillId="0" borderId="4" xfId="0" applyNumberFormat="1" applyFont="1" applyFill="1" applyBorder="1" applyAlignment="1">
      <alignment vertical="center" wrapText="1"/>
    </xf>
    <xf numFmtId="164" fontId="1" fillId="5" borderId="1" xfId="0" applyNumberFormat="1" applyFont="1" applyFill="1" applyBorder="1" applyAlignment="1">
      <alignment vertical="center" wrapText="1"/>
    </xf>
    <xf numFmtId="0" fontId="1" fillId="0" borderId="0" xfId="0" applyFont="1" applyAlignment="1">
      <alignment horizontal="right"/>
    </xf>
    <xf numFmtId="164" fontId="7" fillId="0" borderId="1" xfId="0" applyNumberFormat="1" applyFont="1" applyFill="1" applyBorder="1" applyAlignment="1">
      <alignment horizontal="right" vertical="center" wrapText="1"/>
    </xf>
    <xf numFmtId="0" fontId="9" fillId="0" borderId="1" xfId="0" applyFont="1" applyBorder="1" applyAlignment="1" applyProtection="1">
      <alignment horizontal="center" vertical="center"/>
      <protection locked="0"/>
    </xf>
    <xf numFmtId="164" fontId="9" fillId="0" borderId="1" xfId="0" applyNumberFormat="1" applyFont="1" applyFill="1" applyBorder="1" applyAlignment="1">
      <alignment horizontal="center" vertical="center" wrapText="1"/>
    </xf>
    <xf numFmtId="0" fontId="1" fillId="0" borderId="0" xfId="0" applyFont="1" applyAlignment="1">
      <alignment horizontal="right" vertical="center"/>
    </xf>
    <xf numFmtId="0" fontId="1" fillId="0" borderId="0" xfId="0" applyFont="1" applyAlignment="1">
      <alignment vertical="center"/>
    </xf>
    <xf numFmtId="164" fontId="1" fillId="0" borderId="0" xfId="0" applyNumberFormat="1" applyFont="1" applyAlignment="1">
      <alignment vertical="center"/>
    </xf>
    <xf numFmtId="0" fontId="3" fillId="0" borderId="1" xfId="0" applyFont="1" applyBorder="1" applyAlignment="1" applyProtection="1">
      <alignment horizontal="left" vertical="center" wrapText="1"/>
      <protection locked="0"/>
    </xf>
    <xf numFmtId="0" fontId="9" fillId="0" borderId="1" xfId="0" applyFont="1" applyBorder="1" applyAlignment="1" applyProtection="1">
      <alignment horizontal="center" vertical="center"/>
      <protection locked="0"/>
    </xf>
    <xf numFmtId="0" fontId="3" fillId="0" borderId="5" xfId="2" applyFont="1" applyBorder="1" applyAlignment="1">
      <alignment horizontal="center" vertical="center" wrapText="1"/>
      <protection locked="0"/>
    </xf>
    <xf numFmtId="0" fontId="3" fillId="0" borderId="6" xfId="2" applyFont="1" applyBorder="1" applyAlignment="1">
      <alignment horizontal="center" vertical="center" wrapText="1"/>
      <protection locked="0"/>
    </xf>
    <xf numFmtId="0" fontId="3" fillId="0" borderId="5" xfId="0"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164" fontId="8" fillId="0" borderId="5" xfId="0" applyNumberFormat="1" applyFont="1" applyBorder="1" applyAlignment="1">
      <alignment horizontal="center" vertical="top" wrapText="1"/>
    </xf>
    <xf numFmtId="164" fontId="8" fillId="0" borderId="6" xfId="0" applyNumberFormat="1" applyFont="1" applyBorder="1" applyAlignment="1">
      <alignment horizontal="center" vertical="top" wrapText="1"/>
    </xf>
    <xf numFmtId="164" fontId="3" fillId="0" borderId="5" xfId="0" applyNumberFormat="1" applyFont="1" applyBorder="1" applyAlignment="1" applyProtection="1">
      <alignment horizontal="center" vertical="center"/>
      <protection locked="0"/>
    </xf>
    <xf numFmtId="164" fontId="3" fillId="0" borderId="6" xfId="0" applyNumberFormat="1" applyFont="1" applyBorder="1" applyAlignment="1" applyProtection="1">
      <alignment horizontal="center" vertical="center"/>
      <protection locked="0"/>
    </xf>
    <xf numFmtId="0" fontId="8" fillId="0" borderId="1" xfId="2" applyFont="1" applyBorder="1" applyAlignment="1">
      <alignment horizontal="left" vertical="center" wrapText="1"/>
      <protection locked="0"/>
    </xf>
    <xf numFmtId="0" fontId="8" fillId="0" borderId="1" xfId="2" applyFont="1" applyBorder="1" applyAlignment="1">
      <alignment horizontal="left" vertical="top" wrapText="1"/>
      <protection locked="0"/>
    </xf>
  </cellXfs>
  <cellStyles count="12">
    <cellStyle name="DarkGrey" xfId="1" xr:uid="{00000000-0005-0000-0000-000031000000}"/>
    <cellStyle name="EmptyEditable" xfId="2" xr:uid="{00000000-0005-0000-0000-000032000000}"/>
    <cellStyle name="EmptyGray" xfId="3" xr:uid="{00000000-0005-0000-0000-000033000000}"/>
    <cellStyle name="EmptyLocked" xfId="4" xr:uid="{00000000-0005-0000-0000-000034000000}"/>
    <cellStyle name="Header" xfId="5" xr:uid="{00000000-0005-0000-0000-000035000000}"/>
    <cellStyle name="Hidden" xfId="6" xr:uid="{00000000-0005-0000-0000-000036000000}"/>
    <cellStyle name="LightGrey" xfId="7" xr:uid="{00000000-0005-0000-0000-000037000000}"/>
    <cellStyle name="Normal" xfId="0" builtinId="0"/>
    <cellStyle name="VatDisabled" xfId="8" xr:uid="{00000000-0005-0000-0000-000038000000}"/>
    <cellStyle name="VatDisabledLocked" xfId="9" xr:uid="{00000000-0005-0000-0000-000039000000}"/>
    <cellStyle name="VatEnabled" xfId="10" xr:uid="{00000000-0005-0000-0000-00003A000000}"/>
    <cellStyle name="VatEnabledLocked" xfId="11" xr:uid="{00000000-0005-0000-0000-00003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9"/>
  <sheetViews>
    <sheetView showGridLines="0" topLeftCell="A22" zoomScale="80" zoomScaleNormal="80" workbookViewId="0">
      <selection activeCell="I22" sqref="I22"/>
    </sheetView>
  </sheetViews>
  <sheetFormatPr defaultColWidth="9.109375" defaultRowHeight="13.2"/>
  <cols>
    <col min="1" max="1" width="3.5546875" style="1" customWidth="1"/>
    <col min="2" max="2" width="38.44140625" style="1" bestFit="1" customWidth="1"/>
    <col min="3" max="3" width="68.109375" style="22" customWidth="1"/>
    <col min="4" max="4" width="6.5546875" style="1" customWidth="1"/>
    <col min="5" max="5" width="10.21875" style="2" customWidth="1"/>
    <col min="6" max="6" width="34.6640625" style="14" customWidth="1"/>
    <col min="7" max="8" width="14.33203125" style="14" customWidth="1"/>
    <col min="9" max="9" width="18.21875" style="3" customWidth="1"/>
    <col min="10" max="10" width="15.33203125" style="31" customWidth="1"/>
    <col min="11" max="11" width="9.109375" style="36"/>
    <col min="12" max="12" width="9.109375" style="4"/>
    <col min="13" max="13" width="9.109375" style="5" customWidth="1"/>
    <col min="14" max="16384" width="9.109375" style="4"/>
  </cols>
  <sheetData>
    <row r="1" spans="1:11" ht="26.4">
      <c r="A1" s="6" t="s">
        <v>0</v>
      </c>
      <c r="B1" s="6" t="s">
        <v>1</v>
      </c>
      <c r="C1" s="17" t="s">
        <v>2</v>
      </c>
      <c r="D1" s="6" t="s">
        <v>3</v>
      </c>
      <c r="E1" s="7" t="s">
        <v>4</v>
      </c>
      <c r="F1" s="7" t="s">
        <v>163</v>
      </c>
      <c r="G1" s="7" t="s">
        <v>164</v>
      </c>
      <c r="H1" s="7" t="s">
        <v>165</v>
      </c>
      <c r="I1" s="13" t="s">
        <v>5</v>
      </c>
      <c r="J1" s="30" t="s">
        <v>6</v>
      </c>
    </row>
    <row r="2" spans="1:11" ht="79.2">
      <c r="A2" s="8">
        <v>1</v>
      </c>
      <c r="B2" s="8" t="s">
        <v>7</v>
      </c>
      <c r="C2" s="18" t="s">
        <v>8</v>
      </c>
      <c r="D2" s="8">
        <v>157</v>
      </c>
      <c r="E2" s="9" t="s">
        <v>9</v>
      </c>
      <c r="F2" s="16"/>
      <c r="G2" s="15">
        <v>0</v>
      </c>
      <c r="H2" s="15">
        <f>SUM(G2*D2)</f>
        <v>0</v>
      </c>
      <c r="I2" s="29" t="s">
        <v>169</v>
      </c>
      <c r="J2" s="30" t="s">
        <v>10</v>
      </c>
    </row>
    <row r="3" spans="1:11" ht="79.2">
      <c r="A3" s="8">
        <v>2</v>
      </c>
      <c r="B3" s="8" t="s">
        <v>7</v>
      </c>
      <c r="C3" s="18" t="s">
        <v>11</v>
      </c>
      <c r="D3" s="8">
        <v>3</v>
      </c>
      <c r="E3" s="9" t="s">
        <v>9</v>
      </c>
      <c r="F3" s="13"/>
      <c r="G3" s="15">
        <v>0</v>
      </c>
      <c r="H3" s="15">
        <f t="shared" ref="H3:H65" si="0">SUM(G3*D3)</f>
        <v>0</v>
      </c>
      <c r="I3" s="29" t="s">
        <v>169</v>
      </c>
      <c r="J3" s="30" t="s">
        <v>12</v>
      </c>
    </row>
    <row r="4" spans="1:11" ht="79.2">
      <c r="A4" s="8">
        <v>3</v>
      </c>
      <c r="B4" s="8" t="s">
        <v>7</v>
      </c>
      <c r="C4" s="18" t="s">
        <v>13</v>
      </c>
      <c r="D4" s="8">
        <v>1</v>
      </c>
      <c r="E4" s="9" t="s">
        <v>9</v>
      </c>
      <c r="F4" s="13"/>
      <c r="G4" s="15">
        <v>0</v>
      </c>
      <c r="H4" s="15">
        <f t="shared" si="0"/>
        <v>0</v>
      </c>
      <c r="I4" s="29" t="s">
        <v>169</v>
      </c>
      <c r="J4" s="30" t="s">
        <v>12</v>
      </c>
    </row>
    <row r="5" spans="1:11" ht="39.6">
      <c r="A5" s="8">
        <v>4</v>
      </c>
      <c r="B5" s="8" t="s">
        <v>14</v>
      </c>
      <c r="C5" s="18" t="s">
        <v>15</v>
      </c>
      <c r="D5" s="8">
        <v>33</v>
      </c>
      <c r="E5" s="9" t="s">
        <v>16</v>
      </c>
      <c r="F5" s="13"/>
      <c r="G5" s="15">
        <v>0</v>
      </c>
      <c r="H5" s="15">
        <f t="shared" si="0"/>
        <v>0</v>
      </c>
      <c r="I5" s="29" t="s">
        <v>169</v>
      </c>
      <c r="J5" s="30" t="s">
        <v>10</v>
      </c>
    </row>
    <row r="6" spans="1:11" ht="158.4">
      <c r="A6" s="8">
        <v>5</v>
      </c>
      <c r="B6" s="8" t="s">
        <v>17</v>
      </c>
      <c r="C6" s="19" t="s">
        <v>18</v>
      </c>
      <c r="D6" s="8">
        <v>5</v>
      </c>
      <c r="E6" s="9" t="s">
        <v>16</v>
      </c>
      <c r="F6" s="13"/>
      <c r="G6" s="15">
        <v>0</v>
      </c>
      <c r="H6" s="15">
        <f t="shared" si="0"/>
        <v>0</v>
      </c>
      <c r="I6" s="29" t="s">
        <v>169</v>
      </c>
      <c r="J6" s="30" t="s">
        <v>19</v>
      </c>
    </row>
    <row r="7" spans="1:11" ht="66">
      <c r="A7" s="8">
        <v>6</v>
      </c>
      <c r="B7" s="8" t="s">
        <v>17</v>
      </c>
      <c r="C7" s="18" t="s">
        <v>20</v>
      </c>
      <c r="D7" s="8">
        <v>4</v>
      </c>
      <c r="E7" s="9" t="s">
        <v>9</v>
      </c>
      <c r="F7" s="13"/>
      <c r="G7" s="15">
        <v>0</v>
      </c>
      <c r="H7" s="15">
        <f t="shared" si="0"/>
        <v>0</v>
      </c>
      <c r="I7" s="29" t="s">
        <v>169</v>
      </c>
      <c r="J7" s="30" t="s">
        <v>21</v>
      </c>
    </row>
    <row r="8" spans="1:11" ht="39.6">
      <c r="A8" s="8">
        <v>7</v>
      </c>
      <c r="B8" s="8" t="s">
        <v>22</v>
      </c>
      <c r="C8" s="18" t="s">
        <v>23</v>
      </c>
      <c r="D8" s="8">
        <v>5</v>
      </c>
      <c r="E8" s="9" t="s">
        <v>16</v>
      </c>
      <c r="F8" s="16" t="s">
        <v>171</v>
      </c>
      <c r="G8" s="15">
        <v>302.55</v>
      </c>
      <c r="H8" s="15">
        <f t="shared" si="0"/>
        <v>1512.75</v>
      </c>
      <c r="I8" s="26" t="s">
        <v>170</v>
      </c>
      <c r="J8" s="30"/>
    </row>
    <row r="9" spans="1:11" ht="92.4">
      <c r="A9" s="8">
        <v>8</v>
      </c>
      <c r="B9" s="8" t="s">
        <v>25</v>
      </c>
      <c r="C9" s="18" t="s">
        <v>26</v>
      </c>
      <c r="D9" s="8">
        <v>60</v>
      </c>
      <c r="E9" s="9" t="s">
        <v>16</v>
      </c>
      <c r="F9" s="13"/>
      <c r="G9" s="15">
        <v>0</v>
      </c>
      <c r="H9" s="15">
        <f t="shared" si="0"/>
        <v>0</v>
      </c>
      <c r="I9" s="13" t="s">
        <v>27</v>
      </c>
      <c r="J9" s="30" t="s">
        <v>28</v>
      </c>
    </row>
    <row r="10" spans="1:11" ht="105.6">
      <c r="A10" s="8">
        <v>9</v>
      </c>
      <c r="B10" s="8" t="s">
        <v>25</v>
      </c>
      <c r="C10" s="18" t="s">
        <v>29</v>
      </c>
      <c r="D10" s="8">
        <v>17</v>
      </c>
      <c r="E10" s="9" t="s">
        <v>16</v>
      </c>
      <c r="F10" s="13"/>
      <c r="G10" s="15">
        <v>0</v>
      </c>
      <c r="H10" s="15">
        <f t="shared" si="0"/>
        <v>0</v>
      </c>
      <c r="I10" s="13" t="s">
        <v>27</v>
      </c>
      <c r="J10" s="30" t="s">
        <v>10</v>
      </c>
    </row>
    <row r="11" spans="1:11" ht="158.4">
      <c r="A11" s="8">
        <v>10</v>
      </c>
      <c r="B11" s="8" t="s">
        <v>25</v>
      </c>
      <c r="C11" s="18" t="s">
        <v>30</v>
      </c>
      <c r="D11" s="8">
        <v>1</v>
      </c>
      <c r="E11" s="9" t="s">
        <v>16</v>
      </c>
      <c r="F11" s="13"/>
      <c r="G11" s="15">
        <v>0</v>
      </c>
      <c r="H11" s="15">
        <f t="shared" si="0"/>
        <v>0</v>
      </c>
      <c r="I11" s="13" t="s">
        <v>31</v>
      </c>
      <c r="J11" s="30" t="s">
        <v>32</v>
      </c>
    </row>
    <row r="12" spans="1:11" ht="171.6">
      <c r="A12" s="8">
        <v>11</v>
      </c>
      <c r="B12" s="8" t="s">
        <v>25</v>
      </c>
      <c r="C12" s="18" t="s">
        <v>33</v>
      </c>
      <c r="D12" s="8">
        <v>1</v>
      </c>
      <c r="E12" s="9" t="s">
        <v>16</v>
      </c>
      <c r="F12" s="13"/>
      <c r="G12" s="15">
        <v>0</v>
      </c>
      <c r="H12" s="15">
        <f t="shared" si="0"/>
        <v>0</v>
      </c>
      <c r="I12" s="13" t="s">
        <v>34</v>
      </c>
      <c r="J12" s="30" t="s">
        <v>31</v>
      </c>
    </row>
    <row r="13" spans="1:11" ht="171.6">
      <c r="A13" s="8">
        <v>12</v>
      </c>
      <c r="B13" s="8" t="s">
        <v>35</v>
      </c>
      <c r="C13" s="18" t="s">
        <v>36</v>
      </c>
      <c r="D13" s="8">
        <v>37</v>
      </c>
      <c r="E13" s="9" t="s">
        <v>16</v>
      </c>
      <c r="F13" s="13"/>
      <c r="G13" s="15">
        <v>0</v>
      </c>
      <c r="H13" s="15">
        <f t="shared" si="0"/>
        <v>0</v>
      </c>
      <c r="I13" s="13" t="s">
        <v>37</v>
      </c>
      <c r="J13" s="30" t="s">
        <v>10</v>
      </c>
    </row>
    <row r="14" spans="1:11" ht="198">
      <c r="A14" s="8">
        <v>13</v>
      </c>
      <c r="B14" s="8" t="s">
        <v>38</v>
      </c>
      <c r="C14" s="20" t="s">
        <v>176</v>
      </c>
      <c r="D14" s="8">
        <v>64</v>
      </c>
      <c r="E14" s="9" t="s">
        <v>16</v>
      </c>
      <c r="F14" s="16" t="s">
        <v>175</v>
      </c>
      <c r="G14" s="15">
        <v>134.69999999999999</v>
      </c>
      <c r="H14" s="15">
        <f t="shared" si="0"/>
        <v>8620.7999999999993</v>
      </c>
      <c r="I14" s="35" t="s">
        <v>39</v>
      </c>
      <c r="J14" s="27" t="s">
        <v>177</v>
      </c>
      <c r="K14" s="37" t="s">
        <v>166</v>
      </c>
    </row>
    <row r="15" spans="1:11" ht="118.8">
      <c r="A15" s="8">
        <v>14</v>
      </c>
      <c r="B15" s="8" t="s">
        <v>40</v>
      </c>
      <c r="C15" s="18" t="s">
        <v>41</v>
      </c>
      <c r="D15" s="8">
        <v>81</v>
      </c>
      <c r="E15" s="9" t="s">
        <v>16</v>
      </c>
      <c r="F15" s="13"/>
      <c r="G15" s="15">
        <v>0</v>
      </c>
      <c r="H15" s="15">
        <f t="shared" si="0"/>
        <v>0</v>
      </c>
      <c r="I15" s="13" t="s">
        <v>42</v>
      </c>
      <c r="J15" s="30" t="s">
        <v>43</v>
      </c>
    </row>
    <row r="16" spans="1:11" ht="158.4">
      <c r="A16" s="8">
        <v>15</v>
      </c>
      <c r="B16" s="8" t="s">
        <v>44</v>
      </c>
      <c r="C16" s="18" t="s">
        <v>45</v>
      </c>
      <c r="D16" s="8">
        <v>8</v>
      </c>
      <c r="E16" s="9" t="s">
        <v>16</v>
      </c>
      <c r="F16" s="13"/>
      <c r="G16" s="15">
        <v>0</v>
      </c>
      <c r="H16" s="15">
        <f t="shared" si="0"/>
        <v>0</v>
      </c>
      <c r="I16" s="13" t="s">
        <v>46</v>
      </c>
      <c r="J16" s="30" t="s">
        <v>47</v>
      </c>
    </row>
    <row r="17" spans="1:12" ht="132">
      <c r="A17" s="8">
        <v>16</v>
      </c>
      <c r="B17" s="8" t="s">
        <v>44</v>
      </c>
      <c r="C17" s="18" t="s">
        <v>48</v>
      </c>
      <c r="D17" s="8">
        <v>3</v>
      </c>
      <c r="E17" s="9" t="s">
        <v>16</v>
      </c>
      <c r="F17" s="13"/>
      <c r="G17" s="15">
        <v>0</v>
      </c>
      <c r="H17" s="15">
        <f t="shared" si="0"/>
        <v>0</v>
      </c>
      <c r="I17" s="13" t="s">
        <v>46</v>
      </c>
      <c r="J17" s="30" t="s">
        <v>47</v>
      </c>
    </row>
    <row r="18" spans="1:12" ht="105.6">
      <c r="A18" s="8">
        <v>17</v>
      </c>
      <c r="B18" s="8" t="s">
        <v>44</v>
      </c>
      <c r="C18" s="18" t="s">
        <v>49</v>
      </c>
      <c r="D18" s="8">
        <v>4</v>
      </c>
      <c r="E18" s="9" t="s">
        <v>16</v>
      </c>
      <c r="F18" s="13"/>
      <c r="G18" s="15">
        <v>0</v>
      </c>
      <c r="H18" s="15">
        <f t="shared" si="0"/>
        <v>0</v>
      </c>
      <c r="I18" s="13" t="s">
        <v>46</v>
      </c>
      <c r="J18" s="30" t="s">
        <v>50</v>
      </c>
    </row>
    <row r="19" spans="1:12" ht="118.8">
      <c r="A19" s="8">
        <v>18</v>
      </c>
      <c r="B19" s="8" t="s">
        <v>51</v>
      </c>
      <c r="C19" s="18" t="s">
        <v>52</v>
      </c>
      <c r="D19" s="8">
        <v>10</v>
      </c>
      <c r="E19" s="9" t="s">
        <v>16</v>
      </c>
      <c r="F19" s="13"/>
      <c r="G19" s="15">
        <v>0</v>
      </c>
      <c r="H19" s="15">
        <f t="shared" si="0"/>
        <v>0</v>
      </c>
      <c r="I19" s="13" t="s">
        <v>53</v>
      </c>
      <c r="J19" s="30" t="s">
        <v>24</v>
      </c>
    </row>
    <row r="20" spans="1:12" ht="118.8">
      <c r="A20" s="8">
        <v>19</v>
      </c>
      <c r="B20" s="8" t="s">
        <v>54</v>
      </c>
      <c r="C20" s="18" t="s">
        <v>55</v>
      </c>
      <c r="D20" s="8">
        <v>2</v>
      </c>
      <c r="E20" s="9" t="s">
        <v>16</v>
      </c>
      <c r="F20" s="13"/>
      <c r="G20" s="15">
        <v>0</v>
      </c>
      <c r="H20" s="15">
        <f t="shared" si="0"/>
        <v>0</v>
      </c>
      <c r="I20" s="13" t="s">
        <v>37</v>
      </c>
      <c r="J20" s="30" t="s">
        <v>56</v>
      </c>
    </row>
    <row r="21" spans="1:12">
      <c r="A21" s="8">
        <v>20</v>
      </c>
      <c r="B21" s="8" t="s">
        <v>57</v>
      </c>
      <c r="C21" s="18" t="s">
        <v>58</v>
      </c>
      <c r="D21" s="8">
        <v>1</v>
      </c>
      <c r="E21" s="9" t="s">
        <v>16</v>
      </c>
      <c r="F21" s="13"/>
      <c r="G21" s="15">
        <v>0</v>
      </c>
      <c r="H21" s="15">
        <f t="shared" si="0"/>
        <v>0</v>
      </c>
      <c r="I21" s="13" t="s">
        <v>46</v>
      </c>
      <c r="J21" s="30" t="s">
        <v>59</v>
      </c>
    </row>
    <row r="22" spans="1:12">
      <c r="A22" s="8">
        <v>21</v>
      </c>
      <c r="B22" s="8" t="s">
        <v>60</v>
      </c>
      <c r="C22" s="18" t="s">
        <v>61</v>
      </c>
      <c r="D22" s="8">
        <v>7</v>
      </c>
      <c r="E22" s="9" t="s">
        <v>16</v>
      </c>
      <c r="F22" s="13" t="s">
        <v>178</v>
      </c>
      <c r="G22" s="15">
        <v>172</v>
      </c>
      <c r="H22" s="15">
        <f t="shared" si="0"/>
        <v>1204</v>
      </c>
      <c r="I22" s="35" t="s">
        <v>75</v>
      </c>
      <c r="J22" s="30"/>
    </row>
    <row r="23" spans="1:12" ht="158.4">
      <c r="A23" s="8">
        <v>22</v>
      </c>
      <c r="B23" s="8" t="s">
        <v>62</v>
      </c>
      <c r="C23" s="18" t="s">
        <v>63</v>
      </c>
      <c r="D23" s="8">
        <v>26</v>
      </c>
      <c r="E23" s="9" t="s">
        <v>16</v>
      </c>
      <c r="F23" s="13"/>
      <c r="G23" s="15">
        <v>0</v>
      </c>
      <c r="H23" s="15">
        <f t="shared" si="0"/>
        <v>0</v>
      </c>
      <c r="I23" s="13" t="s">
        <v>64</v>
      </c>
      <c r="J23" s="30" t="s">
        <v>65</v>
      </c>
    </row>
    <row r="24" spans="1:12" ht="105.6">
      <c r="A24" s="8">
        <v>23</v>
      </c>
      <c r="B24" s="8" t="s">
        <v>66</v>
      </c>
      <c r="C24" s="18" t="s">
        <v>67</v>
      </c>
      <c r="D24" s="8">
        <v>36</v>
      </c>
      <c r="E24" s="9" t="s">
        <v>16</v>
      </c>
      <c r="F24" s="13"/>
      <c r="G24" s="15">
        <v>0</v>
      </c>
      <c r="H24" s="15">
        <f t="shared" si="0"/>
        <v>0</v>
      </c>
      <c r="I24" s="13" t="s">
        <v>64</v>
      </c>
      <c r="J24" s="30" t="s">
        <v>68</v>
      </c>
    </row>
    <row r="25" spans="1:12" ht="145.19999999999999">
      <c r="A25" s="8">
        <v>24</v>
      </c>
      <c r="B25" s="8" t="s">
        <v>69</v>
      </c>
      <c r="C25" s="18" t="s">
        <v>70</v>
      </c>
      <c r="D25" s="8">
        <v>30</v>
      </c>
      <c r="E25" s="9" t="s">
        <v>9</v>
      </c>
      <c r="F25" s="13"/>
      <c r="G25" s="15">
        <v>0</v>
      </c>
      <c r="H25" s="15">
        <f t="shared" si="0"/>
        <v>0</v>
      </c>
      <c r="I25" s="13" t="s">
        <v>71</v>
      </c>
      <c r="J25" s="30" t="s">
        <v>72</v>
      </c>
    </row>
    <row r="26" spans="1:12" ht="52.8">
      <c r="A26" s="8">
        <v>25</v>
      </c>
      <c r="B26" s="8" t="s">
        <v>73</v>
      </c>
      <c r="C26" s="18" t="s">
        <v>74</v>
      </c>
      <c r="D26" s="8">
        <v>30</v>
      </c>
      <c r="E26" s="9" t="s">
        <v>16</v>
      </c>
      <c r="F26" s="16" t="s">
        <v>162</v>
      </c>
      <c r="G26" s="15">
        <v>819</v>
      </c>
      <c r="H26" s="15">
        <f t="shared" si="0"/>
        <v>24570</v>
      </c>
      <c r="I26" s="26" t="s">
        <v>75</v>
      </c>
      <c r="J26" s="32"/>
      <c r="K26" s="25"/>
      <c r="L26" s="23"/>
    </row>
    <row r="27" spans="1:12">
      <c r="A27" s="8">
        <v>26</v>
      </c>
      <c r="B27" s="8" t="s">
        <v>73</v>
      </c>
      <c r="C27" s="18" t="s">
        <v>77</v>
      </c>
      <c r="D27" s="8">
        <v>2</v>
      </c>
      <c r="E27" s="9" t="s">
        <v>16</v>
      </c>
      <c r="F27" s="13"/>
      <c r="G27" s="15">
        <v>0</v>
      </c>
      <c r="H27" s="15">
        <f t="shared" si="0"/>
        <v>0</v>
      </c>
      <c r="I27" s="10" t="s">
        <v>76</v>
      </c>
      <c r="J27" s="30" t="s">
        <v>75</v>
      </c>
    </row>
    <row r="28" spans="1:12">
      <c r="A28" s="8">
        <v>27</v>
      </c>
      <c r="B28" s="8" t="s">
        <v>73</v>
      </c>
      <c r="C28" s="18" t="s">
        <v>78</v>
      </c>
      <c r="D28" s="8">
        <v>2</v>
      </c>
      <c r="E28" s="9" t="s">
        <v>16</v>
      </c>
      <c r="F28" s="13"/>
      <c r="G28" s="15">
        <v>0</v>
      </c>
      <c r="H28" s="15">
        <f t="shared" si="0"/>
        <v>0</v>
      </c>
      <c r="I28" s="10" t="s">
        <v>76</v>
      </c>
      <c r="J28" s="30" t="s">
        <v>75</v>
      </c>
    </row>
    <row r="29" spans="1:12" ht="132">
      <c r="A29" s="8">
        <v>28</v>
      </c>
      <c r="B29" s="8" t="s">
        <v>79</v>
      </c>
      <c r="C29" s="18" t="s">
        <v>80</v>
      </c>
      <c r="D29" s="8">
        <v>1</v>
      </c>
      <c r="E29" s="9" t="s">
        <v>16</v>
      </c>
      <c r="F29" s="13"/>
      <c r="G29" s="15">
        <v>0</v>
      </c>
      <c r="H29" s="15">
        <f t="shared" si="0"/>
        <v>0</v>
      </c>
      <c r="I29" s="10" t="s">
        <v>81</v>
      </c>
      <c r="J29" s="30" t="s">
        <v>76</v>
      </c>
    </row>
    <row r="30" spans="1:12" ht="79.2">
      <c r="A30" s="8">
        <v>29</v>
      </c>
      <c r="B30" s="8" t="s">
        <v>82</v>
      </c>
      <c r="C30" s="21" t="s">
        <v>83</v>
      </c>
      <c r="D30" s="8">
        <v>3</v>
      </c>
      <c r="E30" s="9" t="s">
        <v>16</v>
      </c>
      <c r="F30" s="13"/>
      <c r="G30" s="15">
        <v>0</v>
      </c>
      <c r="H30" s="15">
        <f t="shared" si="0"/>
        <v>0</v>
      </c>
      <c r="I30" s="10" t="s">
        <v>84</v>
      </c>
      <c r="J30" s="30" t="s">
        <v>76</v>
      </c>
    </row>
    <row r="31" spans="1:12" ht="52.8">
      <c r="A31" s="8">
        <v>30</v>
      </c>
      <c r="B31" s="8" t="s">
        <v>85</v>
      </c>
      <c r="C31" s="21" t="s">
        <v>86</v>
      </c>
      <c r="D31" s="8">
        <v>3</v>
      </c>
      <c r="E31" s="9" t="s">
        <v>16</v>
      </c>
      <c r="F31" s="13"/>
      <c r="G31" s="15">
        <v>0</v>
      </c>
      <c r="H31" s="15">
        <f t="shared" si="0"/>
        <v>0</v>
      </c>
      <c r="I31" s="10" t="s">
        <v>84</v>
      </c>
      <c r="J31" s="30" t="s">
        <v>76</v>
      </c>
    </row>
    <row r="32" spans="1:12" ht="79.2">
      <c r="A32" s="8">
        <v>31</v>
      </c>
      <c r="B32" s="8" t="s">
        <v>87</v>
      </c>
      <c r="C32" s="21" t="s">
        <v>88</v>
      </c>
      <c r="D32" s="8">
        <v>3</v>
      </c>
      <c r="E32" s="9" t="s">
        <v>16</v>
      </c>
      <c r="F32" s="13"/>
      <c r="G32" s="15">
        <v>0</v>
      </c>
      <c r="H32" s="15">
        <f t="shared" si="0"/>
        <v>0</v>
      </c>
      <c r="I32" s="10" t="s">
        <v>84</v>
      </c>
      <c r="J32" s="30" t="s">
        <v>76</v>
      </c>
    </row>
    <row r="33" spans="1:12" ht="52.8">
      <c r="A33" s="8">
        <v>32</v>
      </c>
      <c r="B33" s="8" t="s">
        <v>89</v>
      </c>
      <c r="C33" s="21" t="s">
        <v>90</v>
      </c>
      <c r="D33" s="8">
        <v>3</v>
      </c>
      <c r="E33" s="9" t="s">
        <v>16</v>
      </c>
      <c r="F33" s="13"/>
      <c r="G33" s="15">
        <v>0</v>
      </c>
      <c r="H33" s="15">
        <f t="shared" si="0"/>
        <v>0</v>
      </c>
      <c r="I33" s="10" t="s">
        <v>84</v>
      </c>
      <c r="J33" s="30" t="s">
        <v>76</v>
      </c>
    </row>
    <row r="34" spans="1:12" ht="132">
      <c r="A34" s="8">
        <v>33</v>
      </c>
      <c r="B34" s="8" t="s">
        <v>91</v>
      </c>
      <c r="C34" s="18" t="s">
        <v>92</v>
      </c>
      <c r="D34" s="8">
        <v>5</v>
      </c>
      <c r="E34" s="9" t="s">
        <v>16</v>
      </c>
      <c r="F34" s="13"/>
      <c r="G34" s="15">
        <v>0</v>
      </c>
      <c r="H34" s="15">
        <f t="shared" si="0"/>
        <v>0</v>
      </c>
      <c r="I34" s="10" t="s">
        <v>84</v>
      </c>
      <c r="J34" s="30" t="s">
        <v>93</v>
      </c>
    </row>
    <row r="35" spans="1:12">
      <c r="A35" s="8">
        <v>34</v>
      </c>
      <c r="B35" s="8" t="s">
        <v>94</v>
      </c>
      <c r="C35" s="18" t="s">
        <v>95</v>
      </c>
      <c r="D35" s="8">
        <v>5</v>
      </c>
      <c r="E35" s="9" t="s">
        <v>16</v>
      </c>
      <c r="F35" s="13"/>
      <c r="G35" s="15">
        <v>0</v>
      </c>
      <c r="H35" s="15">
        <f t="shared" si="0"/>
        <v>0</v>
      </c>
      <c r="I35" s="10" t="s">
        <v>84</v>
      </c>
      <c r="J35" s="30" t="s">
        <v>76</v>
      </c>
    </row>
    <row r="36" spans="1:12">
      <c r="A36" s="8">
        <v>35</v>
      </c>
      <c r="B36" s="8" t="s">
        <v>96</v>
      </c>
      <c r="C36" s="18" t="s">
        <v>97</v>
      </c>
      <c r="D36" s="8">
        <v>3</v>
      </c>
      <c r="E36" s="9" t="s">
        <v>16</v>
      </c>
      <c r="F36" s="13"/>
      <c r="G36" s="15">
        <v>0</v>
      </c>
      <c r="H36" s="15">
        <f t="shared" si="0"/>
        <v>0</v>
      </c>
      <c r="I36" s="10" t="s">
        <v>84</v>
      </c>
      <c r="J36" s="30" t="s">
        <v>76</v>
      </c>
    </row>
    <row r="37" spans="1:12" ht="132">
      <c r="A37" s="8">
        <v>36</v>
      </c>
      <c r="B37" s="8" t="s">
        <v>98</v>
      </c>
      <c r="C37" s="18" t="s">
        <v>99</v>
      </c>
      <c r="D37" s="8">
        <v>2</v>
      </c>
      <c r="E37" s="9" t="s">
        <v>16</v>
      </c>
      <c r="F37" s="13"/>
      <c r="G37" s="15">
        <v>0</v>
      </c>
      <c r="H37" s="15">
        <f t="shared" si="0"/>
        <v>0</v>
      </c>
      <c r="I37" s="10" t="s">
        <v>76</v>
      </c>
      <c r="J37" s="30" t="s">
        <v>100</v>
      </c>
    </row>
    <row r="38" spans="1:12" ht="105.6">
      <c r="A38" s="8">
        <v>37</v>
      </c>
      <c r="B38" s="8" t="s">
        <v>101</v>
      </c>
      <c r="C38" s="18" t="s">
        <v>102</v>
      </c>
      <c r="D38" s="8">
        <v>5</v>
      </c>
      <c r="E38" s="9" t="s">
        <v>103</v>
      </c>
      <c r="F38" s="13"/>
      <c r="G38" s="15">
        <v>0</v>
      </c>
      <c r="H38" s="15">
        <f t="shared" si="0"/>
        <v>0</v>
      </c>
      <c r="I38" s="10" t="s">
        <v>84</v>
      </c>
      <c r="J38" s="30" t="s">
        <v>76</v>
      </c>
    </row>
    <row r="39" spans="1:12">
      <c r="A39" s="8">
        <v>38</v>
      </c>
      <c r="B39" s="8" t="s">
        <v>101</v>
      </c>
      <c r="C39" s="18" t="s">
        <v>104</v>
      </c>
      <c r="D39" s="8">
        <v>700</v>
      </c>
      <c r="E39" s="9" t="s">
        <v>16</v>
      </c>
      <c r="F39" s="13"/>
      <c r="G39" s="15">
        <v>0</v>
      </c>
      <c r="H39" s="15">
        <f t="shared" si="0"/>
        <v>0</v>
      </c>
      <c r="I39" s="10" t="s">
        <v>84</v>
      </c>
      <c r="J39" s="30" t="s">
        <v>76</v>
      </c>
    </row>
    <row r="40" spans="1:12">
      <c r="A40" s="8">
        <v>39</v>
      </c>
      <c r="B40" s="8" t="s">
        <v>105</v>
      </c>
      <c r="C40" s="18" t="s">
        <v>106</v>
      </c>
      <c r="D40" s="8">
        <v>5000</v>
      </c>
      <c r="E40" s="9" t="s">
        <v>107</v>
      </c>
      <c r="F40" s="13"/>
      <c r="G40" s="15">
        <v>0</v>
      </c>
      <c r="H40" s="15">
        <f t="shared" si="0"/>
        <v>0</v>
      </c>
      <c r="I40" s="10" t="s">
        <v>84</v>
      </c>
      <c r="J40" s="30" t="s">
        <v>108</v>
      </c>
    </row>
    <row r="41" spans="1:12">
      <c r="A41" s="8">
        <v>40</v>
      </c>
      <c r="B41" s="8" t="s">
        <v>109</v>
      </c>
      <c r="C41" s="18" t="s">
        <v>110</v>
      </c>
      <c r="D41" s="8">
        <v>3000</v>
      </c>
      <c r="E41" s="9" t="s">
        <v>107</v>
      </c>
      <c r="F41" s="13"/>
      <c r="G41" s="15">
        <v>0</v>
      </c>
      <c r="H41" s="15">
        <f t="shared" si="0"/>
        <v>0</v>
      </c>
      <c r="I41" s="10" t="s">
        <v>108</v>
      </c>
      <c r="J41" s="30" t="s">
        <v>111</v>
      </c>
    </row>
    <row r="42" spans="1:12">
      <c r="A42" s="8">
        <v>41</v>
      </c>
      <c r="B42" s="8" t="s">
        <v>112</v>
      </c>
      <c r="C42" s="18" t="s">
        <v>113</v>
      </c>
      <c r="D42" s="8">
        <v>20</v>
      </c>
      <c r="E42" s="9" t="s">
        <v>16</v>
      </c>
      <c r="F42" s="13"/>
      <c r="G42" s="15">
        <v>0</v>
      </c>
      <c r="H42" s="15">
        <f t="shared" si="0"/>
        <v>0</v>
      </c>
      <c r="I42" s="10" t="s">
        <v>108</v>
      </c>
      <c r="J42" s="30" t="s">
        <v>111</v>
      </c>
    </row>
    <row r="43" spans="1:12">
      <c r="A43" s="8">
        <v>42</v>
      </c>
      <c r="B43" s="8" t="s">
        <v>112</v>
      </c>
      <c r="C43" s="18" t="s">
        <v>114</v>
      </c>
      <c r="D43" s="8">
        <v>10</v>
      </c>
      <c r="E43" s="9" t="s">
        <v>16</v>
      </c>
      <c r="F43" s="13"/>
      <c r="G43" s="15">
        <v>0</v>
      </c>
      <c r="H43" s="15">
        <f t="shared" si="0"/>
        <v>0</v>
      </c>
      <c r="I43" s="10" t="s">
        <v>108</v>
      </c>
      <c r="J43" s="30" t="s">
        <v>111</v>
      </c>
    </row>
    <row r="44" spans="1:12">
      <c r="A44" s="8">
        <v>43</v>
      </c>
      <c r="B44" s="8" t="s">
        <v>112</v>
      </c>
      <c r="C44" s="18" t="s">
        <v>115</v>
      </c>
      <c r="D44" s="8">
        <v>10</v>
      </c>
      <c r="E44" s="9" t="s">
        <v>16</v>
      </c>
      <c r="F44" s="13"/>
      <c r="G44" s="15">
        <v>0</v>
      </c>
      <c r="H44" s="15">
        <f t="shared" si="0"/>
        <v>0</v>
      </c>
      <c r="I44" s="10" t="s">
        <v>108</v>
      </c>
      <c r="J44" s="30" t="s">
        <v>111</v>
      </c>
    </row>
    <row r="45" spans="1:12">
      <c r="A45" s="8">
        <v>44</v>
      </c>
      <c r="B45" s="8" t="s">
        <v>112</v>
      </c>
      <c r="C45" s="18" t="s">
        <v>116</v>
      </c>
      <c r="D45" s="8">
        <v>10</v>
      </c>
      <c r="E45" s="9" t="s">
        <v>16</v>
      </c>
      <c r="F45" s="13"/>
      <c r="G45" s="15">
        <v>0</v>
      </c>
      <c r="H45" s="15">
        <f t="shared" si="0"/>
        <v>0</v>
      </c>
      <c r="I45" s="10" t="s">
        <v>108</v>
      </c>
      <c r="J45" s="30" t="s">
        <v>111</v>
      </c>
    </row>
    <row r="46" spans="1:12">
      <c r="A46" s="8">
        <v>45</v>
      </c>
      <c r="B46" s="8" t="s">
        <v>117</v>
      </c>
      <c r="C46" s="18" t="s">
        <v>118</v>
      </c>
      <c r="D46" s="8">
        <v>20</v>
      </c>
      <c r="E46" s="9" t="s">
        <v>16</v>
      </c>
      <c r="F46" s="13"/>
      <c r="G46" s="15">
        <v>0</v>
      </c>
      <c r="H46" s="15">
        <f t="shared" si="0"/>
        <v>0</v>
      </c>
      <c r="I46" s="10" t="s">
        <v>108</v>
      </c>
      <c r="J46" s="30" t="s">
        <v>111</v>
      </c>
    </row>
    <row r="47" spans="1:12">
      <c r="A47" s="8">
        <v>46</v>
      </c>
      <c r="B47" s="8" t="s">
        <v>119</v>
      </c>
      <c r="C47" s="18" t="s">
        <v>120</v>
      </c>
      <c r="D47" s="8">
        <v>10</v>
      </c>
      <c r="E47" s="9" t="s">
        <v>103</v>
      </c>
      <c r="F47" s="13"/>
      <c r="G47" s="15">
        <v>0</v>
      </c>
      <c r="H47" s="15">
        <f t="shared" si="0"/>
        <v>0</v>
      </c>
      <c r="I47" s="10" t="s">
        <v>108</v>
      </c>
      <c r="J47" s="30" t="s">
        <v>111</v>
      </c>
    </row>
    <row r="48" spans="1:12" ht="92.4">
      <c r="A48" s="8">
        <v>47</v>
      </c>
      <c r="B48" s="8" t="s">
        <v>121</v>
      </c>
      <c r="C48" s="20" t="s">
        <v>122</v>
      </c>
      <c r="D48" s="8">
        <v>10</v>
      </c>
      <c r="E48" s="9" t="s">
        <v>16</v>
      </c>
      <c r="F48" s="16" t="s">
        <v>168</v>
      </c>
      <c r="G48" s="15">
        <v>660</v>
      </c>
      <c r="H48" s="15">
        <f t="shared" si="0"/>
        <v>6600</v>
      </c>
      <c r="I48" s="26" t="s">
        <v>75</v>
      </c>
      <c r="J48" s="27"/>
      <c r="K48" s="24"/>
      <c r="L48" s="23"/>
    </row>
    <row r="49" spans="1:12" ht="105.6">
      <c r="A49" s="8">
        <v>48</v>
      </c>
      <c r="B49" s="8" t="s">
        <v>123</v>
      </c>
      <c r="C49" s="20" t="s">
        <v>124</v>
      </c>
      <c r="D49" s="8">
        <v>10</v>
      </c>
      <c r="E49" s="9" t="s">
        <v>16</v>
      </c>
      <c r="F49" s="16" t="s">
        <v>167</v>
      </c>
      <c r="G49" s="15">
        <v>390</v>
      </c>
      <c r="H49" s="15">
        <f t="shared" si="0"/>
        <v>3900</v>
      </c>
      <c r="I49" s="26" t="s">
        <v>75</v>
      </c>
      <c r="J49" s="28"/>
      <c r="K49" s="24"/>
      <c r="L49" s="23"/>
    </row>
    <row r="50" spans="1:12" ht="66">
      <c r="A50" s="8">
        <v>49</v>
      </c>
      <c r="B50" s="8" t="s">
        <v>125</v>
      </c>
      <c r="C50" s="18" t="s">
        <v>126</v>
      </c>
      <c r="D50" s="8">
        <v>10</v>
      </c>
      <c r="E50" s="9" t="s">
        <v>16</v>
      </c>
      <c r="F50" s="13"/>
      <c r="G50" s="15">
        <v>0</v>
      </c>
      <c r="H50" s="15">
        <f t="shared" si="0"/>
        <v>0</v>
      </c>
      <c r="I50" s="10" t="s">
        <v>127</v>
      </c>
      <c r="J50" s="30" t="s">
        <v>76</v>
      </c>
    </row>
    <row r="51" spans="1:12" ht="79.2">
      <c r="A51" s="8">
        <v>50</v>
      </c>
      <c r="B51" s="8" t="s">
        <v>128</v>
      </c>
      <c r="C51" s="18" t="s">
        <v>129</v>
      </c>
      <c r="D51" s="8">
        <v>25</v>
      </c>
      <c r="E51" s="9" t="s">
        <v>16</v>
      </c>
      <c r="F51" s="13"/>
      <c r="G51" s="15">
        <v>0</v>
      </c>
      <c r="H51" s="15">
        <f t="shared" si="0"/>
        <v>0</v>
      </c>
      <c r="I51" s="10" t="s">
        <v>130</v>
      </c>
      <c r="J51" s="30"/>
    </row>
    <row r="52" spans="1:12" ht="105.6">
      <c r="A52" s="8">
        <v>51</v>
      </c>
      <c r="B52" s="8" t="s">
        <v>131</v>
      </c>
      <c r="C52" s="18" t="s">
        <v>132</v>
      </c>
      <c r="D52" s="8">
        <v>10</v>
      </c>
      <c r="E52" s="9" t="s">
        <v>16</v>
      </c>
      <c r="F52" s="13"/>
      <c r="G52" s="15">
        <v>0</v>
      </c>
      <c r="H52" s="15">
        <f t="shared" si="0"/>
        <v>0</v>
      </c>
      <c r="I52" s="10" t="s">
        <v>84</v>
      </c>
      <c r="J52" s="30" t="s">
        <v>76</v>
      </c>
    </row>
    <row r="53" spans="1:12" ht="118.8">
      <c r="A53" s="8">
        <v>52</v>
      </c>
      <c r="B53" s="8" t="s">
        <v>131</v>
      </c>
      <c r="C53" s="18" t="s">
        <v>133</v>
      </c>
      <c r="D53" s="8">
        <v>10</v>
      </c>
      <c r="E53" s="9" t="s">
        <v>16</v>
      </c>
      <c r="F53" s="13"/>
      <c r="G53" s="15">
        <v>0</v>
      </c>
      <c r="H53" s="15">
        <f t="shared" si="0"/>
        <v>0</v>
      </c>
      <c r="I53" s="10" t="s">
        <v>84</v>
      </c>
      <c r="J53" s="30" t="s">
        <v>76</v>
      </c>
    </row>
    <row r="54" spans="1:12" ht="132">
      <c r="A54" s="8">
        <v>53</v>
      </c>
      <c r="B54" s="8" t="s">
        <v>134</v>
      </c>
      <c r="C54" s="18" t="s">
        <v>135</v>
      </c>
      <c r="D54" s="8">
        <v>2</v>
      </c>
      <c r="E54" s="9" t="s">
        <v>16</v>
      </c>
      <c r="F54" s="13"/>
      <c r="G54" s="15">
        <v>0</v>
      </c>
      <c r="H54" s="15">
        <f t="shared" si="0"/>
        <v>0</v>
      </c>
      <c r="I54" s="10" t="s">
        <v>84</v>
      </c>
      <c r="J54" s="30" t="s">
        <v>76</v>
      </c>
    </row>
    <row r="55" spans="1:12" ht="132">
      <c r="A55" s="8">
        <v>54</v>
      </c>
      <c r="B55" s="8" t="s">
        <v>136</v>
      </c>
      <c r="C55" s="18" t="s">
        <v>137</v>
      </c>
      <c r="D55" s="8">
        <v>2</v>
      </c>
      <c r="E55" s="9" t="s">
        <v>16</v>
      </c>
      <c r="F55" s="13"/>
      <c r="G55" s="15">
        <v>0</v>
      </c>
      <c r="H55" s="15">
        <f t="shared" si="0"/>
        <v>0</v>
      </c>
      <c r="I55" s="10" t="s">
        <v>108</v>
      </c>
      <c r="J55" s="30" t="s">
        <v>138</v>
      </c>
    </row>
    <row r="56" spans="1:12" ht="211.2">
      <c r="A56" s="8">
        <v>55</v>
      </c>
      <c r="B56" s="8" t="s">
        <v>139</v>
      </c>
      <c r="C56" s="18" t="s">
        <v>140</v>
      </c>
      <c r="D56" s="8">
        <v>4</v>
      </c>
      <c r="E56" s="9" t="s">
        <v>16</v>
      </c>
      <c r="F56" s="13"/>
      <c r="G56" s="15">
        <v>0</v>
      </c>
      <c r="H56" s="15">
        <f t="shared" si="0"/>
        <v>0</v>
      </c>
      <c r="I56" s="10" t="s">
        <v>141</v>
      </c>
      <c r="J56" s="30" t="s">
        <v>142</v>
      </c>
    </row>
    <row r="57" spans="1:12" ht="224.4">
      <c r="A57" s="8">
        <v>56</v>
      </c>
      <c r="B57" s="8" t="s">
        <v>143</v>
      </c>
      <c r="C57" s="18" t="s">
        <v>144</v>
      </c>
      <c r="D57" s="8">
        <v>4</v>
      </c>
      <c r="E57" s="9" t="s">
        <v>16</v>
      </c>
      <c r="F57" s="13"/>
      <c r="G57" s="15">
        <v>0</v>
      </c>
      <c r="H57" s="15">
        <f t="shared" si="0"/>
        <v>0</v>
      </c>
      <c r="I57" s="10" t="s">
        <v>141</v>
      </c>
      <c r="J57" s="30" t="s">
        <v>142</v>
      </c>
    </row>
    <row r="58" spans="1:12">
      <c r="A58" s="11">
        <v>57</v>
      </c>
      <c r="B58" s="11" t="s">
        <v>145</v>
      </c>
      <c r="C58" s="18" t="s">
        <v>146</v>
      </c>
      <c r="D58" s="11">
        <v>50</v>
      </c>
      <c r="E58" s="9" t="s">
        <v>16</v>
      </c>
      <c r="F58" s="13"/>
      <c r="G58" s="15">
        <v>0</v>
      </c>
      <c r="H58" s="15">
        <f t="shared" si="0"/>
        <v>0</v>
      </c>
      <c r="I58" s="10" t="s">
        <v>108</v>
      </c>
      <c r="J58" s="30" t="s">
        <v>111</v>
      </c>
    </row>
    <row r="59" spans="1:12">
      <c r="A59" s="11">
        <v>58</v>
      </c>
      <c r="B59" s="11" t="s">
        <v>147</v>
      </c>
      <c r="C59" s="18" t="s">
        <v>148</v>
      </c>
      <c r="D59" s="11">
        <v>50</v>
      </c>
      <c r="E59" s="9" t="s">
        <v>16</v>
      </c>
      <c r="F59" s="13"/>
      <c r="G59" s="15">
        <v>0</v>
      </c>
      <c r="H59" s="15">
        <f t="shared" si="0"/>
        <v>0</v>
      </c>
      <c r="I59" s="10" t="s">
        <v>108</v>
      </c>
      <c r="J59" s="30" t="s">
        <v>111</v>
      </c>
    </row>
    <row r="60" spans="1:12" ht="26.4">
      <c r="A60" s="11">
        <v>59</v>
      </c>
      <c r="B60" s="11" t="s">
        <v>149</v>
      </c>
      <c r="C60" s="18" t="s">
        <v>150</v>
      </c>
      <c r="D60" s="11">
        <v>1500</v>
      </c>
      <c r="E60" s="12" t="s">
        <v>151</v>
      </c>
      <c r="F60" s="13"/>
      <c r="G60" s="15">
        <v>0</v>
      </c>
      <c r="H60" s="15">
        <f t="shared" si="0"/>
        <v>0</v>
      </c>
      <c r="I60" s="10" t="s">
        <v>84</v>
      </c>
      <c r="J60" s="30" t="s">
        <v>108</v>
      </c>
    </row>
    <row r="61" spans="1:12" ht="132">
      <c r="A61" s="11">
        <v>60</v>
      </c>
      <c r="B61" s="11" t="s">
        <v>152</v>
      </c>
      <c r="C61" s="18" t="s">
        <v>153</v>
      </c>
      <c r="D61" s="11">
        <v>25</v>
      </c>
      <c r="E61" s="12" t="s">
        <v>16</v>
      </c>
      <c r="F61" s="13"/>
      <c r="G61" s="15">
        <v>0</v>
      </c>
      <c r="H61" s="15">
        <f t="shared" si="0"/>
        <v>0</v>
      </c>
      <c r="I61" s="10" t="s">
        <v>108</v>
      </c>
      <c r="J61" s="30" t="s">
        <v>111</v>
      </c>
    </row>
    <row r="62" spans="1:12" ht="92.4">
      <c r="A62" s="11">
        <v>61</v>
      </c>
      <c r="B62" s="11" t="s">
        <v>154</v>
      </c>
      <c r="C62" s="18" t="s">
        <v>155</v>
      </c>
      <c r="D62" s="11">
        <v>5</v>
      </c>
      <c r="E62" s="12" t="s">
        <v>16</v>
      </c>
      <c r="F62" s="13"/>
      <c r="G62" s="15">
        <v>0</v>
      </c>
      <c r="H62" s="15">
        <f t="shared" si="0"/>
        <v>0</v>
      </c>
      <c r="I62" s="10" t="s">
        <v>84</v>
      </c>
      <c r="J62" s="30" t="s">
        <v>76</v>
      </c>
    </row>
    <row r="63" spans="1:12" ht="92.4">
      <c r="A63" s="11">
        <v>62</v>
      </c>
      <c r="B63" s="11" t="s">
        <v>154</v>
      </c>
      <c r="C63" s="18" t="s">
        <v>156</v>
      </c>
      <c r="D63" s="11">
        <v>5</v>
      </c>
      <c r="E63" s="12" t="s">
        <v>16</v>
      </c>
      <c r="F63" s="13"/>
      <c r="G63" s="15">
        <v>0</v>
      </c>
      <c r="H63" s="15">
        <f t="shared" si="0"/>
        <v>0</v>
      </c>
      <c r="I63" s="10" t="s">
        <v>84</v>
      </c>
      <c r="J63" s="30" t="s">
        <v>76</v>
      </c>
    </row>
    <row r="64" spans="1:12" ht="92.4">
      <c r="A64" s="11">
        <v>63</v>
      </c>
      <c r="B64" s="11" t="s">
        <v>157</v>
      </c>
      <c r="C64" s="20" t="s">
        <v>158</v>
      </c>
      <c r="D64" s="11">
        <v>1</v>
      </c>
      <c r="E64" s="12" t="s">
        <v>16</v>
      </c>
      <c r="F64" s="13"/>
      <c r="G64" s="15">
        <v>0</v>
      </c>
      <c r="H64" s="15">
        <f t="shared" si="0"/>
        <v>0</v>
      </c>
      <c r="I64" s="10" t="s">
        <v>108</v>
      </c>
      <c r="J64" s="30" t="s">
        <v>159</v>
      </c>
    </row>
    <row r="65" spans="1:10" ht="158.4">
      <c r="A65" s="11">
        <v>64</v>
      </c>
      <c r="B65" s="11" t="s">
        <v>160</v>
      </c>
      <c r="C65" s="18" t="s">
        <v>161</v>
      </c>
      <c r="D65" s="11">
        <v>1200</v>
      </c>
      <c r="E65" s="12" t="s">
        <v>151</v>
      </c>
      <c r="F65" s="13"/>
      <c r="G65" s="15">
        <v>0</v>
      </c>
      <c r="H65" s="15">
        <f t="shared" si="0"/>
        <v>0</v>
      </c>
      <c r="I65" s="10" t="s">
        <v>108</v>
      </c>
      <c r="J65" s="30" t="s">
        <v>111</v>
      </c>
    </row>
    <row r="67" spans="1:10">
      <c r="G67" s="16" t="s">
        <v>174</v>
      </c>
      <c r="H67" s="15">
        <f>SUM(H2:H65)</f>
        <v>46407.55</v>
      </c>
    </row>
    <row r="68" spans="1:10">
      <c r="G68" s="16" t="s">
        <v>173</v>
      </c>
      <c r="H68" s="15">
        <f>SUM(H67*0.18)</f>
        <v>8353.3590000000004</v>
      </c>
    </row>
    <row r="69" spans="1:10">
      <c r="G69" s="33" t="s">
        <v>172</v>
      </c>
      <c r="H69" s="34">
        <f>SUM(H67:H68)</f>
        <v>54760.909</v>
      </c>
    </row>
  </sheetData>
  <sheetProtection formatColumns="0" formatRows="0"/>
  <autoFilter ref="I1:I65" xr:uid="{00000000-0001-0000-0000-000000000000}"/>
  <dataValidations count="2">
    <dataValidation type="decimal" operator="greaterThan" allowBlank="1" showErrorMessage="1" errorTitle="Düzgün olmayan dəyər qeyd olunub" error="Müsbət rəqəm daxil edin" sqref="D2:D57" xr:uid="{00000000-0002-0000-0000-000000000000}">
      <formula1>0</formula1>
    </dataValidation>
    <dataValidation type="list" showErrorMessage="1" errorTitle="Düzgün olmayan dəyər qeyd olunub" error="Dəyəri mövcud siyahıdan seçin" sqref="E2:E59" xr:uid="{00000000-0002-0000-0000-000001000000}">
      <formula1>"kg,qr,m,km,sm,dm,mm,hektar,sot,m(3),m(2),rulon,qutu,nəfər,ton,bağlama,litr,ədəd,ay,gün,il,paçka,dəst,cüt,düym,mm(3),mm(2),sm(2),sm(3),desilitr,barel,mq,sentner,unsiya,adam-gün,adam-saat,rüb (kvartal),pagon metr,doza,Vt,kVt,mVt"</formula1>
    </dataValidation>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B9325-0DB8-4CEC-81B8-8BB464959006}">
  <dimension ref="A1:K36"/>
  <sheetViews>
    <sheetView tabSelected="1" zoomScaleNormal="100" workbookViewId="0">
      <selection activeCell="C3" sqref="C3"/>
    </sheetView>
  </sheetViews>
  <sheetFormatPr defaultColWidth="9.109375" defaultRowHeight="13.2"/>
  <cols>
    <col min="1" max="1" width="3.5546875" style="1" customWidth="1"/>
    <col min="2" max="2" width="18.88671875" style="1" customWidth="1"/>
    <col min="3" max="3" width="68.109375" style="22" customWidth="1"/>
    <col min="4" max="4" width="5.5546875" style="1" bestFit="1" customWidth="1"/>
    <col min="5" max="5" width="5.5546875" style="2" bestFit="1" customWidth="1"/>
    <col min="6" max="6" width="34.6640625" style="14" customWidth="1"/>
    <col min="7" max="8" width="14.33203125" style="14" customWidth="1"/>
    <col min="9" max="9" width="9.109375" style="36"/>
    <col min="10" max="10" width="9.109375" style="4"/>
    <col min="11" max="11" width="9.109375" style="5"/>
    <col min="12" max="16384" width="9.109375" style="4"/>
  </cols>
  <sheetData>
    <row r="1" spans="1:11" s="41" customFormat="1" ht="19.8" customHeight="1">
      <c r="A1" s="38" t="s">
        <v>196</v>
      </c>
      <c r="B1" s="38" t="s">
        <v>197</v>
      </c>
      <c r="C1" s="38" t="s">
        <v>198</v>
      </c>
      <c r="D1" s="44" t="s">
        <v>199</v>
      </c>
      <c r="E1" s="44"/>
      <c r="F1" s="39" t="s">
        <v>200</v>
      </c>
      <c r="G1" s="39" t="s">
        <v>201</v>
      </c>
      <c r="H1" s="39" t="s">
        <v>202</v>
      </c>
      <c r="I1" s="40"/>
      <c r="K1" s="42"/>
    </row>
    <row r="2" spans="1:11" ht="92.4">
      <c r="A2" s="8">
        <v>1</v>
      </c>
      <c r="B2" s="8" t="s">
        <v>82</v>
      </c>
      <c r="C2" s="21" t="s">
        <v>195</v>
      </c>
      <c r="D2" s="8">
        <v>3</v>
      </c>
      <c r="E2" s="9" t="s">
        <v>16</v>
      </c>
      <c r="F2" s="13"/>
      <c r="G2" s="15">
        <v>0</v>
      </c>
      <c r="H2" s="15">
        <f t="shared" ref="H2:H32" si="0">SUM(G2*D2)</f>
        <v>0</v>
      </c>
    </row>
    <row r="3" spans="1:11" ht="79.2">
      <c r="A3" s="8">
        <v>2</v>
      </c>
      <c r="B3" s="8" t="s">
        <v>85</v>
      </c>
      <c r="C3" s="21" t="s">
        <v>194</v>
      </c>
      <c r="D3" s="8">
        <v>3</v>
      </c>
      <c r="E3" s="9" t="s">
        <v>16</v>
      </c>
      <c r="F3" s="13"/>
      <c r="G3" s="15">
        <v>0</v>
      </c>
      <c r="H3" s="15">
        <f t="shared" si="0"/>
        <v>0</v>
      </c>
    </row>
    <row r="4" spans="1:11" ht="92.4">
      <c r="A4" s="8">
        <v>3</v>
      </c>
      <c r="B4" s="8" t="s">
        <v>87</v>
      </c>
      <c r="C4" s="21" t="s">
        <v>193</v>
      </c>
      <c r="D4" s="8">
        <v>3</v>
      </c>
      <c r="E4" s="9" t="s">
        <v>16</v>
      </c>
      <c r="F4" s="13"/>
      <c r="G4" s="15">
        <v>0</v>
      </c>
      <c r="H4" s="15">
        <f t="shared" si="0"/>
        <v>0</v>
      </c>
    </row>
    <row r="5" spans="1:11" ht="66">
      <c r="A5" s="8">
        <v>4</v>
      </c>
      <c r="B5" s="8" t="s">
        <v>89</v>
      </c>
      <c r="C5" s="54" t="s">
        <v>192</v>
      </c>
      <c r="D5" s="8">
        <v>3</v>
      </c>
      <c r="E5" s="9" t="s">
        <v>16</v>
      </c>
      <c r="F5" s="13"/>
      <c r="G5" s="15">
        <v>0</v>
      </c>
      <c r="H5" s="15">
        <f t="shared" si="0"/>
        <v>0</v>
      </c>
    </row>
    <row r="6" spans="1:11" ht="132">
      <c r="A6" s="8">
        <v>5</v>
      </c>
      <c r="B6" s="8" t="s">
        <v>91</v>
      </c>
      <c r="C6" s="18" t="s">
        <v>191</v>
      </c>
      <c r="D6" s="8">
        <v>5</v>
      </c>
      <c r="E6" s="9" t="s">
        <v>16</v>
      </c>
      <c r="F6" s="13"/>
      <c r="G6" s="15">
        <v>0</v>
      </c>
      <c r="H6" s="15">
        <f t="shared" si="0"/>
        <v>0</v>
      </c>
    </row>
    <row r="7" spans="1:11" ht="26.4">
      <c r="A7" s="8">
        <v>6</v>
      </c>
      <c r="B7" s="8" t="s">
        <v>94</v>
      </c>
      <c r="C7" s="20" t="s">
        <v>95</v>
      </c>
      <c r="D7" s="8">
        <v>5</v>
      </c>
      <c r="E7" s="9" t="s">
        <v>16</v>
      </c>
      <c r="F7" s="13" t="s">
        <v>218</v>
      </c>
      <c r="G7" s="15">
        <v>28.95</v>
      </c>
      <c r="H7" s="15">
        <f t="shared" si="0"/>
        <v>144.75</v>
      </c>
    </row>
    <row r="8" spans="1:11" ht="26.4">
      <c r="A8" s="8">
        <v>7</v>
      </c>
      <c r="B8" s="8" t="s">
        <v>96</v>
      </c>
      <c r="C8" s="20" t="s">
        <v>97</v>
      </c>
      <c r="D8" s="8">
        <v>3</v>
      </c>
      <c r="E8" s="9" t="s">
        <v>16</v>
      </c>
      <c r="F8" s="13" t="s">
        <v>217</v>
      </c>
      <c r="G8" s="15">
        <v>5.99</v>
      </c>
      <c r="H8" s="15">
        <f t="shared" si="0"/>
        <v>17.97</v>
      </c>
    </row>
    <row r="9" spans="1:11" ht="132">
      <c r="A9" s="8">
        <v>8</v>
      </c>
      <c r="B9" s="8" t="s">
        <v>98</v>
      </c>
      <c r="C9" s="20" t="s">
        <v>190</v>
      </c>
      <c r="D9" s="8">
        <v>2</v>
      </c>
      <c r="E9" s="9" t="s">
        <v>16</v>
      </c>
      <c r="F9" s="13"/>
      <c r="G9" s="15">
        <v>0</v>
      </c>
      <c r="H9" s="15">
        <f t="shared" si="0"/>
        <v>0</v>
      </c>
    </row>
    <row r="10" spans="1:11" ht="118.8">
      <c r="A10" s="8">
        <v>9</v>
      </c>
      <c r="B10" s="8" t="s">
        <v>101</v>
      </c>
      <c r="C10" s="18" t="s">
        <v>189</v>
      </c>
      <c r="D10" s="8">
        <v>500</v>
      </c>
      <c r="E10" s="9" t="s">
        <v>16</v>
      </c>
      <c r="F10" s="13" t="s">
        <v>216</v>
      </c>
      <c r="G10" s="15">
        <v>0.12</v>
      </c>
      <c r="H10" s="15">
        <f t="shared" si="0"/>
        <v>60</v>
      </c>
    </row>
    <row r="11" spans="1:11" ht="26.4">
      <c r="A11" s="8">
        <v>10</v>
      </c>
      <c r="B11" s="8" t="s">
        <v>101</v>
      </c>
      <c r="C11" s="18" t="s">
        <v>104</v>
      </c>
      <c r="D11" s="8">
        <v>700</v>
      </c>
      <c r="E11" s="9" t="s">
        <v>16</v>
      </c>
      <c r="F11" s="16" t="s">
        <v>216</v>
      </c>
      <c r="G11" s="15">
        <v>0.12</v>
      </c>
      <c r="H11" s="15">
        <f t="shared" si="0"/>
        <v>84</v>
      </c>
    </row>
    <row r="12" spans="1:11" ht="66">
      <c r="A12" s="8">
        <v>11</v>
      </c>
      <c r="B12" s="8" t="s">
        <v>105</v>
      </c>
      <c r="C12" s="18" t="s">
        <v>106</v>
      </c>
      <c r="D12" s="8">
        <v>5000</v>
      </c>
      <c r="E12" s="9" t="s">
        <v>107</v>
      </c>
      <c r="F12" s="13" t="s">
        <v>207</v>
      </c>
      <c r="G12" s="15">
        <v>0.85</v>
      </c>
      <c r="H12" s="15">
        <f t="shared" si="0"/>
        <v>4250</v>
      </c>
    </row>
    <row r="13" spans="1:11" ht="39.6">
      <c r="A13" s="8">
        <v>12</v>
      </c>
      <c r="B13" s="8" t="s">
        <v>109</v>
      </c>
      <c r="C13" s="18" t="s">
        <v>110</v>
      </c>
      <c r="D13" s="8">
        <v>3000</v>
      </c>
      <c r="E13" s="9" t="s">
        <v>107</v>
      </c>
      <c r="F13" s="13" t="s">
        <v>215</v>
      </c>
      <c r="G13" s="15">
        <v>0.68</v>
      </c>
      <c r="H13" s="15">
        <f t="shared" si="0"/>
        <v>2040.0000000000002</v>
      </c>
    </row>
    <row r="14" spans="1:11" ht="39.6">
      <c r="A14" s="8">
        <v>13</v>
      </c>
      <c r="B14" s="8" t="s">
        <v>112</v>
      </c>
      <c r="C14" s="18" t="s">
        <v>113</v>
      </c>
      <c r="D14" s="8">
        <v>20</v>
      </c>
      <c r="E14" s="9" t="s">
        <v>16</v>
      </c>
      <c r="F14" s="13" t="s">
        <v>213</v>
      </c>
      <c r="G14" s="15">
        <v>43.66</v>
      </c>
      <c r="H14" s="15">
        <f t="shared" si="0"/>
        <v>873.19999999999993</v>
      </c>
    </row>
    <row r="15" spans="1:11" ht="39.6">
      <c r="A15" s="8">
        <v>14</v>
      </c>
      <c r="B15" s="8" t="s">
        <v>112</v>
      </c>
      <c r="C15" s="20" t="s">
        <v>114</v>
      </c>
      <c r="D15" s="8">
        <v>10</v>
      </c>
      <c r="E15" s="9" t="s">
        <v>16</v>
      </c>
      <c r="F15" s="13" t="s">
        <v>214</v>
      </c>
      <c r="G15" s="15">
        <v>68.12</v>
      </c>
      <c r="H15" s="15">
        <f t="shared" si="0"/>
        <v>681.2</v>
      </c>
    </row>
    <row r="16" spans="1:11" ht="39.6">
      <c r="A16" s="8">
        <v>15</v>
      </c>
      <c r="B16" s="8" t="s">
        <v>112</v>
      </c>
      <c r="C16" s="18" t="s">
        <v>115</v>
      </c>
      <c r="D16" s="8">
        <v>10</v>
      </c>
      <c r="E16" s="9" t="s">
        <v>16</v>
      </c>
      <c r="F16" s="13" t="s">
        <v>213</v>
      </c>
      <c r="G16" s="15">
        <v>43.66</v>
      </c>
      <c r="H16" s="15">
        <f t="shared" si="0"/>
        <v>436.59999999999997</v>
      </c>
    </row>
    <row r="17" spans="1:8" ht="39.6">
      <c r="A17" s="8">
        <v>16</v>
      </c>
      <c r="B17" s="8" t="s">
        <v>112</v>
      </c>
      <c r="C17" s="20" t="s">
        <v>116</v>
      </c>
      <c r="D17" s="8">
        <v>10</v>
      </c>
      <c r="E17" s="9" t="s">
        <v>16</v>
      </c>
      <c r="F17" s="13" t="s">
        <v>214</v>
      </c>
      <c r="G17" s="15">
        <v>68.12</v>
      </c>
      <c r="H17" s="15">
        <f t="shared" si="0"/>
        <v>681.2</v>
      </c>
    </row>
    <row r="18" spans="1:8" ht="26.4">
      <c r="A18" s="8">
        <v>17</v>
      </c>
      <c r="B18" s="8" t="s">
        <v>117</v>
      </c>
      <c r="C18" s="18" t="s">
        <v>118</v>
      </c>
      <c r="D18" s="8">
        <v>20</v>
      </c>
      <c r="E18" s="9" t="s">
        <v>16</v>
      </c>
      <c r="F18" s="13" t="s">
        <v>212</v>
      </c>
      <c r="G18" s="15">
        <v>30.99</v>
      </c>
      <c r="H18" s="15">
        <f t="shared" si="0"/>
        <v>619.79999999999995</v>
      </c>
    </row>
    <row r="19" spans="1:8">
      <c r="A19" s="8">
        <v>18</v>
      </c>
      <c r="B19" s="53" t="s">
        <v>119</v>
      </c>
      <c r="C19" s="18" t="s">
        <v>120</v>
      </c>
      <c r="D19" s="8">
        <v>10</v>
      </c>
      <c r="E19" s="9" t="s">
        <v>103</v>
      </c>
      <c r="F19" s="13" t="s">
        <v>211</v>
      </c>
      <c r="G19" s="15">
        <v>0.09</v>
      </c>
      <c r="H19" s="15">
        <f t="shared" si="0"/>
        <v>0.89999999999999991</v>
      </c>
    </row>
    <row r="20" spans="1:8" ht="118.8">
      <c r="A20" s="8">
        <v>19</v>
      </c>
      <c r="B20" s="8" t="s">
        <v>125</v>
      </c>
      <c r="C20" s="18" t="s">
        <v>188</v>
      </c>
      <c r="D20" s="8">
        <v>10</v>
      </c>
      <c r="E20" s="9" t="s">
        <v>16</v>
      </c>
      <c r="F20" s="13"/>
      <c r="G20" s="15">
        <v>0</v>
      </c>
      <c r="H20" s="15">
        <f t="shared" si="0"/>
        <v>0</v>
      </c>
    </row>
    <row r="21" spans="1:8" ht="118.8">
      <c r="A21" s="8">
        <v>20</v>
      </c>
      <c r="B21" s="8" t="s">
        <v>128</v>
      </c>
      <c r="C21" s="20" t="s">
        <v>187</v>
      </c>
      <c r="D21" s="8">
        <v>25</v>
      </c>
      <c r="E21" s="9" t="s">
        <v>16</v>
      </c>
      <c r="F21" s="13" t="s">
        <v>210</v>
      </c>
      <c r="G21" s="15">
        <v>20.440000000000001</v>
      </c>
      <c r="H21" s="15">
        <f t="shared" si="0"/>
        <v>511.00000000000006</v>
      </c>
    </row>
    <row r="22" spans="1:8" ht="132">
      <c r="A22" s="8">
        <v>21</v>
      </c>
      <c r="B22" s="8" t="s">
        <v>131</v>
      </c>
      <c r="C22" s="18" t="s">
        <v>186</v>
      </c>
      <c r="D22" s="8">
        <v>10</v>
      </c>
      <c r="E22" s="9" t="s">
        <v>16</v>
      </c>
      <c r="F22" s="13"/>
      <c r="G22" s="15">
        <v>0</v>
      </c>
      <c r="H22" s="15">
        <f t="shared" si="0"/>
        <v>0</v>
      </c>
    </row>
    <row r="23" spans="1:8" ht="118.8">
      <c r="A23" s="8">
        <v>22</v>
      </c>
      <c r="B23" s="53" t="s">
        <v>131</v>
      </c>
      <c r="C23" s="18" t="s">
        <v>185</v>
      </c>
      <c r="D23" s="8">
        <v>10</v>
      </c>
      <c r="E23" s="9" t="s">
        <v>16</v>
      </c>
      <c r="F23" s="13"/>
      <c r="G23" s="15">
        <v>0</v>
      </c>
      <c r="H23" s="15">
        <f t="shared" si="0"/>
        <v>0</v>
      </c>
    </row>
    <row r="24" spans="1:8" ht="145.19999999999999">
      <c r="A24" s="8">
        <v>23</v>
      </c>
      <c r="B24" s="8" t="s">
        <v>134</v>
      </c>
      <c r="C24" s="18" t="s">
        <v>184</v>
      </c>
      <c r="D24" s="8">
        <v>2</v>
      </c>
      <c r="E24" s="9" t="s">
        <v>16</v>
      </c>
      <c r="F24" s="13"/>
      <c r="G24" s="15">
        <v>0</v>
      </c>
      <c r="H24" s="15">
        <f t="shared" si="0"/>
        <v>0</v>
      </c>
    </row>
    <row r="25" spans="1:8" ht="39.6">
      <c r="A25" s="8">
        <v>24</v>
      </c>
      <c r="B25" s="11" t="s">
        <v>145</v>
      </c>
      <c r="C25" s="18" t="s">
        <v>146</v>
      </c>
      <c r="D25" s="11">
        <v>50</v>
      </c>
      <c r="E25" s="9" t="s">
        <v>16</v>
      </c>
      <c r="F25" s="16" t="s">
        <v>208</v>
      </c>
      <c r="G25" s="15">
        <v>2.11</v>
      </c>
      <c r="H25" s="15">
        <f t="shared" si="0"/>
        <v>105.5</v>
      </c>
    </row>
    <row r="26" spans="1:8" ht="39.6">
      <c r="A26" s="8">
        <v>25</v>
      </c>
      <c r="B26" s="11" t="s">
        <v>147</v>
      </c>
      <c r="C26" s="18" t="s">
        <v>148</v>
      </c>
      <c r="D26" s="11">
        <v>50</v>
      </c>
      <c r="E26" s="9" t="s">
        <v>16</v>
      </c>
      <c r="F26" s="13" t="s">
        <v>209</v>
      </c>
      <c r="G26" s="15">
        <v>2.23</v>
      </c>
      <c r="H26" s="15">
        <f t="shared" si="0"/>
        <v>111.5</v>
      </c>
    </row>
    <row r="27" spans="1:8" ht="79.2">
      <c r="A27" s="8">
        <v>26</v>
      </c>
      <c r="B27" s="11" t="s">
        <v>149</v>
      </c>
      <c r="C27" s="18" t="s">
        <v>183</v>
      </c>
      <c r="D27" s="11">
        <v>1500</v>
      </c>
      <c r="E27" s="12" t="s">
        <v>151</v>
      </c>
      <c r="F27" s="13" t="s">
        <v>207</v>
      </c>
      <c r="G27" s="15">
        <v>0.85</v>
      </c>
      <c r="H27" s="15">
        <f t="shared" si="0"/>
        <v>1275</v>
      </c>
    </row>
    <row r="28" spans="1:8" ht="55.8" customHeight="1">
      <c r="A28" s="45">
        <v>27</v>
      </c>
      <c r="B28" s="47" t="s">
        <v>152</v>
      </c>
      <c r="C28" s="49" t="s">
        <v>181</v>
      </c>
      <c r="D28" s="47">
        <v>25</v>
      </c>
      <c r="E28" s="51" t="s">
        <v>16</v>
      </c>
      <c r="F28" s="13" t="s">
        <v>205</v>
      </c>
      <c r="G28" s="15">
        <v>31.51</v>
      </c>
      <c r="H28" s="15">
        <f t="shared" si="0"/>
        <v>787.75</v>
      </c>
    </row>
    <row r="29" spans="1:8" ht="100.2" customHeight="1">
      <c r="A29" s="46"/>
      <c r="B29" s="48"/>
      <c r="C29" s="50"/>
      <c r="D29" s="48"/>
      <c r="E29" s="52"/>
      <c r="F29" s="13" t="s">
        <v>206</v>
      </c>
      <c r="G29" s="15">
        <v>31.51</v>
      </c>
      <c r="H29" s="15">
        <v>787.75</v>
      </c>
    </row>
    <row r="30" spans="1:8" ht="105.6">
      <c r="A30" s="8">
        <v>28</v>
      </c>
      <c r="B30" s="11" t="s">
        <v>154</v>
      </c>
      <c r="C30" s="18" t="s">
        <v>180</v>
      </c>
      <c r="D30" s="11">
        <v>5</v>
      </c>
      <c r="E30" s="12" t="s">
        <v>16</v>
      </c>
      <c r="F30" s="16" t="s">
        <v>204</v>
      </c>
      <c r="G30" s="15">
        <v>9.7100000000000009</v>
      </c>
      <c r="H30" s="15">
        <f t="shared" si="0"/>
        <v>48.550000000000004</v>
      </c>
    </row>
    <row r="31" spans="1:8" ht="105.6">
      <c r="A31" s="8">
        <v>29</v>
      </c>
      <c r="B31" s="11" t="s">
        <v>154</v>
      </c>
      <c r="C31" s="18" t="s">
        <v>179</v>
      </c>
      <c r="D31" s="11">
        <v>5</v>
      </c>
      <c r="E31" s="12" t="s">
        <v>16</v>
      </c>
      <c r="F31" s="16" t="s">
        <v>203</v>
      </c>
      <c r="G31" s="15">
        <v>80.89</v>
      </c>
      <c r="H31" s="15">
        <f t="shared" si="0"/>
        <v>404.45</v>
      </c>
    </row>
    <row r="32" spans="1:8" ht="105.6">
      <c r="A32" s="8">
        <v>30</v>
      </c>
      <c r="B32" s="43" t="s">
        <v>157</v>
      </c>
      <c r="C32" s="20" t="s">
        <v>182</v>
      </c>
      <c r="D32" s="11">
        <v>1</v>
      </c>
      <c r="E32" s="12" t="s">
        <v>16</v>
      </c>
      <c r="F32" s="13"/>
      <c r="G32" s="15">
        <v>0</v>
      </c>
      <c r="H32" s="15">
        <f t="shared" si="0"/>
        <v>0</v>
      </c>
    </row>
    <row r="34" spans="7:8">
      <c r="G34" s="16" t="s">
        <v>174</v>
      </c>
      <c r="H34" s="15">
        <f>SUM(H2:H32)</f>
        <v>13921.119999999999</v>
      </c>
    </row>
    <row r="35" spans="7:8">
      <c r="G35" s="16" t="s">
        <v>173</v>
      </c>
      <c r="H35" s="15">
        <f>SUM(H34*0.18)</f>
        <v>2505.8015999999998</v>
      </c>
    </row>
    <row r="36" spans="7:8">
      <c r="G36" s="33" t="s">
        <v>172</v>
      </c>
      <c r="H36" s="34">
        <f>SUM(H34:H35)</f>
        <v>16426.921599999998</v>
      </c>
    </row>
  </sheetData>
  <mergeCells count="6">
    <mergeCell ref="D1:E1"/>
    <mergeCell ref="A28:A29"/>
    <mergeCell ref="B28:B29"/>
    <mergeCell ref="C28:C29"/>
    <mergeCell ref="D28:D29"/>
    <mergeCell ref="E28:E29"/>
  </mergeCells>
  <dataValidations count="2">
    <dataValidation type="decimal" operator="greaterThan" allowBlank="1" showErrorMessage="1" errorTitle="Düzgün olmayan dəyər qeyd olunub" error="Müsbət rəqəm daxil edin" sqref="D2:D24" xr:uid="{9C74EC70-4F8D-4220-887D-F45D1970A4EA}">
      <formula1>0</formula1>
    </dataValidation>
    <dataValidation type="list" showErrorMessage="1" errorTitle="Düzgün olmayan dəyər qeyd olunub" error="Dəyəri mövcud siyahıdan seçin" sqref="E2:E26" xr:uid="{1D5964A8-A467-4215-851E-702AF1591608}">
      <formula1>"kg,qr,m,km,sm,dm,mm,hektar,sot,m(3),m(2),rulon,qutu,nəfər,ton,bağlama,litr,ədəd,ay,gün,il,paçka,dəst,cüt,düym,mm(3),mm(2),sm(2),sm(3),desilitr,barel,mq,sentner,unsiya,adam-gün,adam-saat,rüb (kvartal),pagon metr,doza,Vt,kVt,mVt"</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İHC</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Elnur</dc:creator>
  <cp:lastModifiedBy>Zeyneb Alamova</cp:lastModifiedBy>
  <dcterms:created xsi:type="dcterms:W3CDTF">2026-04-03T04:46:00Z</dcterms:created>
  <dcterms:modified xsi:type="dcterms:W3CDTF">2026-04-09T09:50:18Z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7D2C53F8B40A49B59DA7155B5AD9D4EB_13</vt:lpwstr>
  </property>
  <property fmtid="{D5CDD505-2E9C-101B-9397-08002B2CF9AE}" pid="3" name="KSOProductBuildVer">
    <vt:lpwstr>1033-12.2.0.23196</vt:lpwstr>
  </property>
</Properties>
</file>