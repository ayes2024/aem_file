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ona.rahimli\Downloads\"/>
    </mc:Choice>
  </mc:AlternateContent>
  <xr:revisionPtr revIDLastSave="0" documentId="8_{5060DAE4-5A7B-41A5-86FB-DD1884C10BB7}" xr6:coauthVersionLast="47" xr6:coauthVersionMax="47" xr10:uidLastSave="{00000000-0000-0000-0000-000000000000}"/>
  <bookViews>
    <workbookView xWindow="-120" yWindow="-120" windowWidth="20730" windowHeight="11160" xr2:uid="{14A56648-AE70-4597-9C2B-53A5BD2FE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2" i="1"/>
  <c r="G10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<sst xmlns="http://schemas.openxmlformats.org/spreadsheetml/2006/main" count="39" uniqueCount="30">
  <si>
    <t>64 kanallı 1U 4K NVR /7632NI-K2</t>
  </si>
  <si>
    <t xml:space="preserve">DS-8664NXI-I8/S AcuSense Series NVR HIKVISION </t>
  </si>
  <si>
    <t>ədəd</t>
  </si>
  <si>
    <t>16 kanallı 1U 4K NVR /-612NI-K2</t>
  </si>
  <si>
    <t>DS-7616NXI-K2  D 16-ch 1U K Series AcuSense 4K NVR HIKVISION</t>
  </si>
  <si>
    <t>Kamera IP 2MP gecə rəngli mikrofonlu çöl</t>
  </si>
  <si>
    <t>DS-2CD1027G2H-LIU 2.8mm 2 MP Hikvision ColorVu with Smart Hybrid Light Fixed Bullet Network Camera</t>
  </si>
  <si>
    <t>Kamera IP 4MP gecə rəngli mikrofonlu daxili</t>
  </si>
  <si>
    <t>DS-2CD1343G2-LIUF 2.8mm Hikvision 4 MP Smart Hybrid Light Fixed Turret Network Camera</t>
  </si>
  <si>
    <t>HDD 10 TB HIKVISION Yaddaş</t>
  </si>
  <si>
    <t>DS100HKAI-VX1 Hikvision 10TB HDD</t>
  </si>
  <si>
    <t>Switch poe ch 16</t>
  </si>
  <si>
    <t>DS-3E0318P-E/M C 16 Port Fast Ethernet Unmanaged POE Switch</t>
  </si>
  <si>
    <t>Switch poe ch 8</t>
  </si>
  <si>
    <t>HIKVISION DS-3E0310P-E/M(B) 8 port POE switch/POE budget 80W/PoE 30w/2 Gigabit RJ45 uplink</t>
  </si>
  <si>
    <t>Switch poe ch 4</t>
  </si>
  <si>
    <t>HIKVISION DS-3E0106P-E/M (B) L2, Unmanaged,  4 10/100M RJ45 PoE ports, 2 10/100M RJ45 uplink ports,Budget 45W</t>
  </si>
  <si>
    <t>PDU CH 8-9</t>
  </si>
  <si>
    <t>AMP  PDU  2001 19" 2U 9 SOKETLI SEBEKE PRIZI  SIGORTALI 1,5MT. 3X1,5 TTR KABLOLU SH192109132</t>
  </si>
  <si>
    <t>Rack kabin 22u</t>
  </si>
  <si>
    <t>SHTURMANN RACK CABINET 22U 600X600 MM 2 FANS+1 SHELF AS6622 RACK</t>
  </si>
  <si>
    <t>HIKVISION - DS-7616NXI-K2/16P(D) (16-ch /2 HDD) PoE 1U K Series AcuSense 4K NVR</t>
  </si>
  <si>
    <t>HIKVISION - DS-2CD1027G2H-LIU (2.8mm) 2 MP IR30m ColorVu with Smart Hybrid Light Fixed Bullet Network Camera</t>
  </si>
  <si>
    <t>HIKVISION - DS-2CD1343G2-LIUF (2.8mm) 4 MP IR30m Smart Hybrid Light Fixed Turret Network Camera</t>
  </si>
  <si>
    <t>HIKVISION - DS100HKAI-VX1 (10TB/7200RPM)</t>
  </si>
  <si>
    <t>HIKVISION - DS-3E0318P-E/M(C) (16 Port Fast Ethernet Unmanaged POE Switch/150 W)</t>
  </si>
  <si>
    <t>HIKVISION - DS-3E0310P-E/M(B) (8 Port Fast Ethernet Unmanaged POE Switch/86 W)</t>
  </si>
  <si>
    <t>HIKVISION - DS-3E0106P-E/M(B) (4 Port Fast Ethernet Unmanaged POE Switch/50 W)</t>
  </si>
  <si>
    <t>VOLTAM PD-01 6 way EU type PDU</t>
  </si>
  <si>
    <t>VOLTAM - VR-6622 - Rack Cabin 22U 600x600 mm   2 x fans with plug 1 x shelf 2 x handle lock 1 x L Wrench, 1 x set key 4 x casters, 4 x feet 30 x 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</si>
</sst>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2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2BAD-09E7-4BD6-86F0-5074A3B2DCA0}">
  <dimension ref="A1:G15"/>
  <sheetViews>
    <sheetView tabSelected="1" topLeftCell="A6" workbookViewId="0">
      <selection activeCell="G16" sqref="G16"/>
    </sheetView>
  </sheetViews>
  <sheetFormatPr defaultRowHeight="14.25"/>
  <cols>
    <col min="1" max="1" width="12.25" customWidth="1"/>
    <col min="2" max="2" width="15.5" customWidth="1"/>
    <col min="5" max="5" width="41.625" customWidth="1"/>
  </cols>
  <sheetData>
    <row r="1" spans="1:7" ht="45">
      <c r="A1" s="1" t="s">
        <v>0</v>
      </c>
      <c r="B1" s="1" t="s">
        <v>1</v>
      </c>
      <c r="C1" s="2">
        <v>1</v>
      </c>
      <c r="D1" s="5" t="s">
        <v>2</v>
      </c>
    </row>
    <row r="2" spans="1:7" ht="60">
      <c r="A2" s="3" t="s">
        <v>3</v>
      </c>
      <c r="B2" s="3" t="s">
        <v>4</v>
      </c>
      <c r="C2" s="4">
        <v>1</v>
      </c>
      <c r="D2" s="5" t="s">
        <v>2</v>
      </c>
      <c r="E2" s="6" t="s">
        <v>21</v>
      </c>
      <c r="F2">
        <v>507.68</v>
      </c>
      <c r="G2">
        <f>F2*C2</f>
        <v>507.68</v>
      </c>
    </row>
    <row r="3" spans="1:7" ht="90">
      <c r="A3" s="3" t="s">
        <v>5</v>
      </c>
      <c r="B3" s="3" t="s">
        <v>6</v>
      </c>
      <c r="C3" s="4">
        <v>11</v>
      </c>
      <c r="D3" s="5" t="s">
        <v>2</v>
      </c>
      <c r="E3" s="6" t="s">
        <v>22</v>
      </c>
      <c r="F3">
        <v>81.73</v>
      </c>
      <c r="G3">
        <f>F3*11</f>
        <v>899.03000000000009</v>
      </c>
    </row>
    <row r="4" spans="1:7" ht="90">
      <c r="A4" s="3" t="s">
        <v>7</v>
      </c>
      <c r="B4" s="3" t="s">
        <v>8</v>
      </c>
      <c r="C4" s="4">
        <v>68</v>
      </c>
      <c r="D4" s="5" t="s">
        <v>2</v>
      </c>
      <c r="E4" s="6" t="s">
        <v>23</v>
      </c>
      <c r="F4">
        <v>85.39</v>
      </c>
      <c r="G4">
        <f>F4*C4</f>
        <v>5806.52</v>
      </c>
    </row>
    <row r="5" spans="1:7" ht="45">
      <c r="A5" s="3" t="s">
        <v>9</v>
      </c>
      <c r="B5" s="3" t="s">
        <v>10</v>
      </c>
      <c r="C5" s="4">
        <v>2</v>
      </c>
      <c r="D5" s="5" t="s">
        <v>2</v>
      </c>
      <c r="E5" s="6" t="s">
        <v>24</v>
      </c>
      <c r="F5">
        <v>969.23</v>
      </c>
      <c r="G5">
        <f>F5*C5</f>
        <v>1938.46</v>
      </c>
    </row>
    <row r="6" spans="1:7" ht="75">
      <c r="A6" s="3" t="s">
        <v>11</v>
      </c>
      <c r="B6" s="3" t="s">
        <v>12</v>
      </c>
      <c r="C6" s="4">
        <v>5</v>
      </c>
      <c r="D6" s="5" t="s">
        <v>2</v>
      </c>
      <c r="E6" s="6" t="s">
        <v>25</v>
      </c>
      <c r="F6">
        <v>190</v>
      </c>
      <c r="G6">
        <f>F6*C6</f>
        <v>950</v>
      </c>
    </row>
    <row r="7" spans="1:7" ht="105">
      <c r="A7" s="3" t="s">
        <v>13</v>
      </c>
      <c r="B7" s="3" t="s">
        <v>14</v>
      </c>
      <c r="C7" s="4">
        <v>4</v>
      </c>
      <c r="D7" s="5" t="s">
        <v>2</v>
      </c>
      <c r="E7" s="6" t="s">
        <v>26</v>
      </c>
      <c r="F7">
        <v>72</v>
      </c>
      <c r="G7">
        <f>F7*C7</f>
        <v>288</v>
      </c>
    </row>
    <row r="8" spans="1:7" ht="105">
      <c r="A8" s="3" t="s">
        <v>15</v>
      </c>
      <c r="B8" s="3" t="s">
        <v>16</v>
      </c>
      <c r="C8" s="4">
        <v>2</v>
      </c>
      <c r="D8" s="5" t="s">
        <v>2</v>
      </c>
      <c r="E8" s="6" t="s">
        <v>27</v>
      </c>
      <c r="F8">
        <v>51</v>
      </c>
      <c r="G8">
        <f>F8*C8</f>
        <v>102</v>
      </c>
    </row>
    <row r="9" spans="1:7" ht="105">
      <c r="A9" s="3" t="s">
        <v>17</v>
      </c>
      <c r="B9" s="3" t="s">
        <v>18</v>
      </c>
      <c r="C9" s="4">
        <v>2</v>
      </c>
      <c r="D9" s="5" t="s">
        <v>2</v>
      </c>
      <c r="E9" t="s">
        <v>28</v>
      </c>
      <c r="F9">
        <v>21</v>
      </c>
    </row>
    <row r="10" spans="1:7" ht="75">
      <c r="A10" s="3" t="s">
        <v>19</v>
      </c>
      <c r="B10" s="3" t="s">
        <v>20</v>
      </c>
      <c r="C10" s="4">
        <v>1</v>
      </c>
      <c r="D10" s="5" t="s">
        <v>2</v>
      </c>
      <c r="E10" s="6" t="s">
        <v>29</v>
      </c>
      <c r="F10">
        <v>230</v>
      </c>
      <c r="G10">
        <f>F10*C10</f>
        <v>230</v>
      </c>
    </row>
    <row r="15" spans="1:7">
      <c r="G15">
        <f>SUM(G1:G10)</f>
        <v>10721.69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Gunel Huseynova</dc:creator>
  <cp:lastModifiedBy>Sona Rahimli</cp:lastModifiedBy>
  <cp:lastPrinted>2026-04-20T10:30:41Z</cp:lastPrinted>
  <dcterms:created xsi:type="dcterms:W3CDTF">2026-04-20T10:30:09Z</dcterms:created>
  <dcterms:modified xsi:type="dcterms:W3CDTF">2026-04-29T07:56:26Z</dcterms:modified>
</cp:coreProperties>
</file>