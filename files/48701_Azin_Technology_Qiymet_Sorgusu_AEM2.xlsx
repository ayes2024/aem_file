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AB72F45D-2DBB-4D1C-93AA-EE7ACAB361CA}" xr6:coauthVersionLast="47" xr6:coauthVersionMax="47" xr10:uidLastSave="{00000000-0000-0000-0000-000000000000}"/>
  <bookViews>
    <workbookView xWindow="-120" yWindow="-120" windowWidth="20730" windowHeight="11160" xr2:uid="{EE6C8DDC-0B3C-46EC-9914-A76AE2FFB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11" i="1" l="1"/>
  <c r="G12" i="1" s="1"/>
  <c r="G15" i="1" s="1"/>
</calcChain>
</file>

<file path=xl/sharedStrings.xml><?xml version="1.0" encoding="utf-8"?>
<sst xmlns="http://schemas.openxmlformats.org/spreadsheetml/2006/main" count="33" uniqueCount="27">
  <si>
    <t>N</t>
  </si>
  <si>
    <t>Miqdar</t>
  </si>
  <si>
    <t>Qiymət</t>
  </si>
  <si>
    <t>Əlavə Məlumatlar</t>
  </si>
  <si>
    <t>CƏM</t>
  </si>
  <si>
    <t>ƏDV 18 %</t>
  </si>
  <si>
    <t>ÇATDIRILMA</t>
  </si>
  <si>
    <t>DİGƏR</t>
  </si>
  <si>
    <t>YEKUN</t>
  </si>
  <si>
    <t>Cəmi</t>
  </si>
  <si>
    <t>Ölçü Vahidi</t>
  </si>
  <si>
    <t xml:space="preserve">                                                  </t>
  </si>
  <si>
    <t>Tələb edilən Məhsul</t>
  </si>
  <si>
    <t>Təklif edilən Məhsul (Marka, model)</t>
  </si>
  <si>
    <t>ədəd</t>
  </si>
  <si>
    <t>"HDMİ kabel HDMI 2.0 (10 meter)"</t>
  </si>
  <si>
    <t>Adapter 12V5A</t>
  </si>
  <si>
    <t>Optik Patch Panel Optic Patch Panel Rack Mounted 12 porlu LC-LC /UPC Loaded.</t>
  </si>
  <si>
    <t>Optik Patch Panel Optic Patch Panel Rack Mounted 24 porlu LC-LC /UPC Loaded.</t>
  </si>
  <si>
    <t>mer</t>
  </si>
  <si>
    <t>PDU 1U, 6x german Schuko type female, Max. output current: 16 A, Max. working voltage: 250 V AC. Rack Mounte</t>
  </si>
  <si>
    <t>Optic Patch Panel Rack Mounted 24 porlu LC-LC /UPC Loaded.</t>
  </si>
  <si>
    <t xml:space="preserve">Montaj aksesuarları </t>
  </si>
  <si>
    <t>Elektrik uzadıcı 1 metr 3 gözlü</t>
  </si>
  <si>
    <t>VOLTAM Desktop Adapter 12V 5A / 60W</t>
  </si>
  <si>
    <t>VOLTAM PD-01 6 way EU type PDU</t>
  </si>
  <si>
    <t>VP-13 3way holland type power strip switch white1.5Metr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</si>
</sst>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₼-42C]_-;\-* #,##0.00\ [$₼-42C]_-;_-* &quot;-&quot;??\ [$₼-42C]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color rgb="FF33333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2" fillId="0" borderId="0" xfId="0" applyFont="1"/>
    <xf numFmtId="164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0" fillId="0" borderId="1" xfId="1" applyNumberFormat="1" applyFont="1" applyBorder="1"/>
    <xf numFmtId="164" fontId="0" fillId="0" borderId="0" xfId="1" applyNumberFormat="1" applyFont="1"/>
    <xf numFmtId="0" fontId="10" fillId="0" borderId="1" xfId="0" applyFont="1" applyBorder="1"/>
    <xf numFmtId="0" fontId="4" fillId="0" borderId="4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9" fillId="0" borderId="1" xfId="0" applyFont="1" applyBorder="1"/>
    <xf numFmtId="0" fontId="2" fillId="0" borderId="1" xfId="0" applyFont="1" applyBorder="1"/>
    <xf numFmtId="0" fontId="4" fillId="0" borderId="4" xfId="0" applyFont="1" applyBorder="1"/>
    <xf numFmtId="0" fontId="12" fillId="0" borderId="0" xfId="0" applyFont="1"/>
    <xf numFmtId="0" fontId="14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164" fontId="11" fillId="2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/>
    <xf numFmtId="164" fontId="5" fillId="4" borderId="1" xfId="1" applyNumberFormat="1" applyFont="1" applyFill="1" applyBorder="1"/>
    <xf numFmtId="0" fontId="8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E9C8F9-9EDA-4D05-ABBC-38FC817131BC}"/>
            </a:ext>
          </a:extLst>
        </xdr:cNvPr>
        <xdr:cNvSpPr txBox="1"/>
      </xdr:nvSpPr>
      <xdr:spPr>
        <a:xfrm>
          <a:off x="6179820" y="121920"/>
          <a:ext cx="525018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38100</xdr:colOff>
      <xdr:row>0</xdr:row>
      <xdr:rowOff>426720</xdr:rowOff>
    </xdr:from>
    <xdr:to>
      <xdr:col>1</xdr:col>
      <xdr:colOff>5455920</xdr:colOff>
      <xdr:row>0</xdr:row>
      <xdr:rowOff>1442561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F2ECF5-FDCE-4056-8E3F-0466235A5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426720"/>
          <a:ext cx="5417820" cy="1015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8B37-BD1A-4C78-97CC-B2FC3013BF76}">
  <dimension ref="A1:G36"/>
  <sheetViews>
    <sheetView tabSelected="1" zoomScale="70" zoomScaleNormal="70" workbookViewId="0">
      <selection activeCell="C10" sqref="C10"/>
    </sheetView>
  </sheetViews>
  <sheetFormatPr defaultRowHeight="15"/>
  <cols>
    <col min="1" max="1" width="6" style="6" customWidth="1"/>
    <col min="2" max="2" width="98.7109375" style="2" customWidth="1"/>
    <col min="3" max="3" width="90.710937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24" style="10" customWidth="1"/>
    <col min="8" max="8" width="8.85546875" customWidth="1"/>
  </cols>
  <sheetData>
    <row r="1" spans="1:7" ht="138" customHeight="1">
      <c r="A1" s="35" t="s">
        <v>11</v>
      </c>
      <c r="B1" s="36"/>
      <c r="C1" s="36"/>
      <c r="D1" s="36"/>
      <c r="E1" s="36"/>
      <c r="F1" s="36"/>
      <c r="G1" s="37"/>
    </row>
    <row r="2" spans="1:7" s="18" customFormat="1" ht="21.6" customHeight="1">
      <c r="A2" s="21" t="s">
        <v>0</v>
      </c>
      <c r="B2" s="22" t="s">
        <v>12</v>
      </c>
      <c r="C2" s="23" t="s">
        <v>13</v>
      </c>
      <c r="D2" s="24" t="s">
        <v>10</v>
      </c>
      <c r="E2" s="22" t="s">
        <v>1</v>
      </c>
      <c r="F2" s="25" t="s">
        <v>2</v>
      </c>
      <c r="G2" s="26" t="s">
        <v>9</v>
      </c>
    </row>
    <row r="3" spans="1:7" ht="21">
      <c r="A3" s="11">
        <v>1</v>
      </c>
      <c r="B3" s="20" t="s">
        <v>15</v>
      </c>
      <c r="C3" s="17"/>
      <c r="D3" s="12" t="s">
        <v>14</v>
      </c>
      <c r="E3" s="4">
        <v>4</v>
      </c>
      <c r="F3" s="5"/>
      <c r="G3" s="27">
        <f t="shared" ref="G3:G10" si="0">SUM(E3*F3)</f>
        <v>0</v>
      </c>
    </row>
    <row r="4" spans="1:7" ht="21">
      <c r="A4" s="11">
        <v>2</v>
      </c>
      <c r="B4" s="20" t="s">
        <v>16</v>
      </c>
      <c r="C4" s="17" t="s">
        <v>24</v>
      </c>
      <c r="D4" s="12" t="s">
        <v>14</v>
      </c>
      <c r="E4" s="4">
        <v>1</v>
      </c>
      <c r="F4" s="5">
        <v>7</v>
      </c>
      <c r="G4" s="27">
        <f t="shared" si="0"/>
        <v>7</v>
      </c>
    </row>
    <row r="5" spans="1:7" ht="41.25">
      <c r="A5" s="11">
        <v>3</v>
      </c>
      <c r="B5" s="20" t="s">
        <v>17</v>
      </c>
      <c r="C5" s="17"/>
      <c r="D5" s="12" t="s">
        <v>14</v>
      </c>
      <c r="E5" s="4">
        <v>8</v>
      </c>
      <c r="F5" s="5"/>
      <c r="G5" s="27">
        <f t="shared" si="0"/>
        <v>0</v>
      </c>
    </row>
    <row r="6" spans="1:7" ht="41.25">
      <c r="A6" s="11">
        <v>4</v>
      </c>
      <c r="B6" s="20" t="s">
        <v>18</v>
      </c>
      <c r="C6" s="17"/>
      <c r="D6" s="12" t="s">
        <v>14</v>
      </c>
      <c r="E6" s="4">
        <v>2</v>
      </c>
      <c r="F6" s="5"/>
      <c r="G6" s="27">
        <f t="shared" si="0"/>
        <v>0</v>
      </c>
    </row>
    <row r="7" spans="1:7" ht="41.25">
      <c r="A7" s="11">
        <v>5</v>
      </c>
      <c r="B7" s="20" t="s">
        <v>20</v>
      </c>
      <c r="C7" s="17" t="s">
        <v>25</v>
      </c>
      <c r="D7" s="12" t="s">
        <v>14</v>
      </c>
      <c r="E7" s="4">
        <v>18</v>
      </c>
      <c r="F7" s="5">
        <v>21</v>
      </c>
      <c r="G7" s="27">
        <f t="shared" si="0"/>
        <v>378</v>
      </c>
    </row>
    <row r="8" spans="1:7" ht="21">
      <c r="A8" s="11">
        <v>6</v>
      </c>
      <c r="B8" s="20" t="s">
        <v>21</v>
      </c>
      <c r="C8" s="17"/>
      <c r="D8" s="12" t="s">
        <v>19</v>
      </c>
      <c r="E8" s="4">
        <v>1000</v>
      </c>
      <c r="F8" s="5"/>
      <c r="G8" s="27">
        <f t="shared" si="0"/>
        <v>0</v>
      </c>
    </row>
    <row r="9" spans="1:7" ht="21">
      <c r="A9" s="11">
        <v>7</v>
      </c>
      <c r="B9" s="20" t="s">
        <v>22</v>
      </c>
      <c r="C9" s="17"/>
      <c r="D9" s="12" t="s">
        <v>14</v>
      </c>
      <c r="E9" s="4">
        <v>120</v>
      </c>
      <c r="F9" s="5"/>
      <c r="G9" s="27">
        <f t="shared" si="0"/>
        <v>0</v>
      </c>
    </row>
    <row r="10" spans="1:7" ht="21">
      <c r="A10" s="11">
        <v>8</v>
      </c>
      <c r="B10" s="20" t="s">
        <v>23</v>
      </c>
      <c r="C10" s="17" t="s">
        <v>26</v>
      </c>
      <c r="D10" s="12" t="s">
        <v>14</v>
      </c>
      <c r="E10" s="4">
        <v>1</v>
      </c>
      <c r="F10" s="5">
        <v>3.92</v>
      </c>
      <c r="G10" s="27">
        <f t="shared" si="0"/>
        <v>3.92</v>
      </c>
    </row>
    <row r="11" spans="1:7" ht="19.5">
      <c r="A11" s="29"/>
      <c r="B11" s="30" t="s">
        <v>3</v>
      </c>
      <c r="C11" s="31"/>
      <c r="D11" s="32"/>
      <c r="E11" s="7" t="s">
        <v>4</v>
      </c>
      <c r="F11" s="1"/>
      <c r="G11" s="27" t="e">
        <f>SUM(#REF!)</f>
        <v>#REF!</v>
      </c>
    </row>
    <row r="12" spans="1:7" ht="19.5">
      <c r="A12" s="13"/>
      <c r="B12" s="19"/>
      <c r="C12" s="14"/>
      <c r="D12" s="14"/>
      <c r="E12" s="7" t="s">
        <v>5</v>
      </c>
      <c r="F12" s="1"/>
      <c r="G12" s="9" t="e">
        <f>SUM(G11*0.18)</f>
        <v>#REF!</v>
      </c>
    </row>
    <row r="13" spans="1:7" ht="19.5">
      <c r="A13" s="13"/>
      <c r="B13" s="19"/>
      <c r="C13" s="14"/>
      <c r="D13" s="14"/>
      <c r="E13" s="7" t="s">
        <v>6</v>
      </c>
      <c r="F13" s="1"/>
      <c r="G13" s="9"/>
    </row>
    <row r="14" spans="1:7" ht="19.5">
      <c r="A14" s="29"/>
      <c r="B14" s="33"/>
      <c r="C14" s="34"/>
      <c r="D14" s="34"/>
      <c r="E14" s="7" t="s">
        <v>7</v>
      </c>
      <c r="F14" s="1"/>
      <c r="G14" s="9"/>
    </row>
    <row r="15" spans="1:7" ht="18.75">
      <c r="A15" s="15"/>
      <c r="B15" s="16"/>
      <c r="E15" s="8" t="s">
        <v>8</v>
      </c>
      <c r="F15" s="1"/>
      <c r="G15" s="28" t="e">
        <f>SUM(G11:G12)</f>
        <v>#REF!</v>
      </c>
    </row>
    <row r="16" spans="1:7" ht="18.75">
      <c r="A16" s="15"/>
      <c r="B16" s="16"/>
    </row>
    <row r="19" ht="25.15" customHeight="1"/>
    <row r="20" ht="25.15" customHeight="1"/>
    <row r="21" ht="25.15" customHeight="1"/>
    <row r="22" ht="25.15" customHeight="1"/>
    <row r="23" ht="25.15" customHeight="1"/>
    <row r="24" ht="25.15" customHeight="1"/>
    <row r="25" ht="25.15" customHeight="1"/>
    <row r="26" ht="25.15" customHeight="1"/>
    <row r="27" ht="25.15" customHeight="1"/>
    <row r="28" ht="25.15" customHeight="1"/>
    <row r="29" ht="25.15" customHeight="1"/>
    <row r="30" ht="25.15" customHeight="1"/>
    <row r="31" ht="24" customHeight="1"/>
    <row r="32" ht="25.9" customHeight="1"/>
    <row r="33" ht="24.6" customHeight="1"/>
    <row r="34" ht="24" customHeight="1"/>
    <row r="35" ht="24" customHeight="1"/>
    <row r="36" ht="23.45" customHeight="1"/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Sona Rahimli</cp:lastModifiedBy>
  <dcterms:created xsi:type="dcterms:W3CDTF">2026-03-02T07:12:30Z</dcterms:created>
  <dcterms:modified xsi:type="dcterms:W3CDTF">2026-04-30T11:49:36Z</dcterms:modified>
</cp:coreProperties>
</file>