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ownloads\"/>
    </mc:Choice>
  </mc:AlternateContent>
  <xr:revisionPtr revIDLastSave="0" documentId="8_{CFE1F1BA-5027-4E21-8BE5-6EA62098F66D}" xr6:coauthVersionLast="47" xr6:coauthVersionMax="47" xr10:uidLastSave="{00000000-0000-0000-0000-000000000000}"/>
  <bookViews>
    <workbookView xWindow="-108" yWindow="-108" windowWidth="23256" windowHeight="12456" xr2:uid="{ED171A8E-D4A7-4729-854A-D5FFBABEEF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E7" i="1" s="1"/>
  <c r="D5" i="1"/>
  <c r="E4" i="1"/>
  <c r="E3" i="1"/>
  <c r="E2" i="1"/>
</calcChain>
</file>

<file path=xl/sharedStrings.xml><?xml version="1.0" encoding="utf-8"?>
<sst xmlns="http://schemas.openxmlformats.org/spreadsheetml/2006/main" count="16" uniqueCount="13">
  <si>
    <t>HIKVISION - DS-2CD1323G2-LIU (2.8mm)  2 MP Smart Hybrid Light Fixed Turret Network Camera</t>
  </si>
  <si>
    <t>ədəd</t>
  </si>
  <si>
    <t>HIKVISION - DS-3E0310P-E/M(B) (8 Port Fast Ethernet Unmanaged POE Switch/86 W)</t>
  </si>
  <si>
    <t>metr</t>
  </si>
  <si>
    <t>VOLTAM CAT 6 SFTP INDOOR Şəbəkə Kabeli 8*0.56 CCA (305m)+1.0HDPE +AL foil +80*0.12mm Al-mg braided + 0.4 mm CCA drain wire+ PVC jacket 305m</t>
  </si>
  <si>
    <t>MR-US3K Smart Online UPS, 3KVA / 3KW, 6*12V/7Ah battery</t>
  </si>
  <si>
    <t>DAHUA - DHI-ARD1231-W ( Беспроводной датчик движения )</t>
  </si>
  <si>
    <t>MƏHSUL</t>
  </si>
  <si>
    <t>SAY</t>
  </si>
  <si>
    <t>VAHİD</t>
  </si>
  <si>
    <t>QİYMƏT</t>
  </si>
  <si>
    <t>MƏBLƏĞ</t>
  </si>
  <si>
    <t>UMUMİ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</si>
</sst>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AD47-6F93-4A04-A75C-4382CEFAA631}">
  <dimension ref="A1:E7"/>
  <sheetViews>
    <sheetView tabSelected="1" workbookViewId="0">
      <selection activeCell="C11" sqref="C11"/>
    </sheetView>
  </sheetViews>
  <sheetFormatPr defaultRowHeight="14.4" x14ac:dyDescent="0.3"/>
  <cols>
    <col min="1" max="1" width="80.6640625" bestFit="1" customWidth="1"/>
  </cols>
  <sheetData>
    <row r="1" spans="1:5" x14ac:dyDescent="0.3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</row>
    <row r="2" spans="1:5" x14ac:dyDescent="0.3">
      <c r="A2" s="2" t="s">
        <v>0</v>
      </c>
      <c r="B2" s="1">
        <v>9</v>
      </c>
      <c r="C2" s="1" t="s">
        <v>1</v>
      </c>
      <c r="D2" s="1">
        <v>63.69</v>
      </c>
      <c r="E2" s="1">
        <f>63.69*9</f>
        <v>573.21</v>
      </c>
    </row>
    <row r="3" spans="1:5" x14ac:dyDescent="0.3">
      <c r="A3" s="1" t="s">
        <v>2</v>
      </c>
      <c r="B3" s="1">
        <v>9</v>
      </c>
      <c r="C3" s="1" t="s">
        <v>1</v>
      </c>
      <c r="D3" s="1">
        <v>78</v>
      </c>
      <c r="E3" s="1">
        <f>78*9</f>
        <v>702</v>
      </c>
    </row>
    <row r="4" spans="1:5" ht="28.8" x14ac:dyDescent="0.3">
      <c r="A4" s="2" t="s">
        <v>4</v>
      </c>
      <c r="B4" s="1">
        <v>915</v>
      </c>
      <c r="C4" s="1" t="s">
        <v>3</v>
      </c>
      <c r="D4" s="1">
        <v>0.34</v>
      </c>
      <c r="E4" s="1">
        <f>915*0.34</f>
        <v>311.10000000000002</v>
      </c>
    </row>
    <row r="5" spans="1:5" x14ac:dyDescent="0.3">
      <c r="A5" s="1" t="s">
        <v>5</v>
      </c>
      <c r="B5" s="1">
        <v>6</v>
      </c>
      <c r="C5" s="1" t="s">
        <v>1</v>
      </c>
      <c r="D5" s="1">
        <f>E5/B5</f>
        <v>623.75</v>
      </c>
      <c r="E5" s="1">
        <v>3742.5</v>
      </c>
    </row>
    <row r="6" spans="1:5" x14ac:dyDescent="0.3">
      <c r="A6" s="1" t="s">
        <v>6</v>
      </c>
      <c r="B6" s="1">
        <v>3</v>
      </c>
      <c r="C6" s="1" t="s">
        <v>1</v>
      </c>
      <c r="D6" s="1">
        <v>85.15</v>
      </c>
      <c r="E6" s="1">
        <f>D6*B6</f>
        <v>255.45000000000002</v>
      </c>
    </row>
    <row r="7" spans="1:5" x14ac:dyDescent="0.3">
      <c r="A7" s="3" t="s">
        <v>12</v>
      </c>
      <c r="B7" s="4"/>
      <c r="C7" s="5"/>
      <c r="D7" s="6"/>
      <c r="E7" s="3">
        <f>SUM(E2:E6)</f>
        <v>5584.2599999999993</v>
      </c>
    </row>
  </sheetData>
  <mergeCells count="1">
    <mergeCell ref="B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Zeyneb Alamova</dc:creator>
  <cp:lastModifiedBy>Zeyneb Alamova</cp:lastModifiedBy>
  <dcterms:created xsi:type="dcterms:W3CDTF">2026-03-26T19:05:25Z</dcterms:created>
  <dcterms:modified xsi:type="dcterms:W3CDTF">2026-03-26T19:12:18Z</dcterms:modified>
</cp:coreProperties>
</file>