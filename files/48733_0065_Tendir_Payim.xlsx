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zeyneb.alamova\Desktop\"/>
    </mc:Choice>
  </mc:AlternateContent>
  <xr:revisionPtr revIDLastSave="0" documentId="13_ncr:1_{B9684E98-35E8-4635-A484-2D2DB84200A9}" xr6:coauthVersionLast="47" xr6:coauthVersionMax="47" xr10:uidLastSave="{00000000-0000-0000-0000-000000000000}"/>
  <bookViews>
    <workbookView xWindow="-108" yWindow="-108" windowWidth="23256" windowHeight="12456" tabRatio="824" xr2:uid="{00000000-000D-0000-FFFF-FFFF00000000}"/>
  </bookViews>
  <sheets>
    <sheet name="sifariş şablon" sheetId="1" r:id="rId1"/>
    <sheet name="Sheet3" sheetId="6" state="hidden" r:id="rId2"/>
    <sheet name="Sheet5" sheetId="8" state="hidden" r:id="rId3"/>
    <sheet name="Sheet4" sheetId="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9" i="1" l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13" i="1"/>
  <c r="H15" i="8"/>
  <c r="H13" i="8"/>
  <c r="J12" i="8"/>
  <c r="H12" i="8"/>
  <c r="J11" i="8"/>
  <c r="H11" i="8"/>
  <c r="H10" i="8"/>
  <c r="J10" i="8" s="1"/>
  <c r="H9" i="8"/>
  <c r="J9" i="8" s="1"/>
  <c r="J8" i="8"/>
  <c r="J7" i="8" s="1"/>
  <c r="H8" i="8"/>
  <c r="H5" i="8"/>
  <c r="J5" i="8" s="1"/>
  <c r="H4" i="8"/>
  <c r="J4" i="8" s="1"/>
  <c r="J3" i="8"/>
  <c r="H3" i="8"/>
  <c r="J2" i="8"/>
  <c r="H2" i="8"/>
  <c r="H16" i="6"/>
  <c r="H14" i="6"/>
  <c r="J13" i="6"/>
  <c r="H13" i="6"/>
  <c r="J12" i="6"/>
  <c r="H12" i="6"/>
  <c r="H11" i="6"/>
  <c r="J11" i="6" s="1"/>
  <c r="H10" i="6"/>
  <c r="J10" i="6" s="1"/>
  <c r="J9" i="6"/>
  <c r="J7" i="6" s="1"/>
  <c r="H9" i="6"/>
  <c r="J8" i="6"/>
  <c r="H6" i="6"/>
  <c r="J6" i="6" s="1"/>
  <c r="H5" i="6"/>
  <c r="J5" i="6" s="1"/>
  <c r="J4" i="6"/>
  <c r="H4" i="6"/>
  <c r="J3" i="6"/>
  <c r="H3" i="6"/>
  <c r="J17" i="6" l="1"/>
  <c r="J18" i="6" s="1"/>
  <c r="J6" i="8"/>
</calcChain>
</file>

<file path=xl/sharedStrings.xml><?xml version="1.0" encoding="utf-8"?>
<sst xmlns="http://schemas.openxmlformats.org/spreadsheetml/2006/main" count="276" uniqueCount="113">
  <si>
    <t>SİFARİŞ BLANKI</t>
  </si>
  <si>
    <t xml:space="preserve">      İmza ___________________________________________________</t>
  </si>
  <si>
    <t>Tarix:</t>
  </si>
  <si>
    <t>№:</t>
  </si>
  <si>
    <t xml:space="preserve">    Tədarükçü/İcraçı:</t>
  </si>
  <si>
    <t>Sıra sayı</t>
  </si>
  <si>
    <t>Sifariş verilən məhsulun və xidmətin adı</t>
  </si>
  <si>
    <t>Ölçü vahidi</t>
  </si>
  <si>
    <t>Say</t>
  </si>
  <si>
    <t>Ehtimal olunan qiymət (ədv xaric)</t>
  </si>
  <si>
    <t>Məbləğ (ədv xaric)</t>
  </si>
  <si>
    <t>Anbarda mövcudur</t>
  </si>
  <si>
    <t xml:space="preserve">Cəmi:  </t>
  </si>
  <si>
    <t>Müraciət edən struktur</t>
  </si>
  <si>
    <t>İmza</t>
  </si>
  <si>
    <t>Adı və soyadı</t>
  </si>
  <si>
    <t>Müraciət etdi: Sifarişə məsul şəxs)</t>
  </si>
  <si>
    <t>Təsdiq etdi: (Struktur və ya layihə rəhbəri)</t>
  </si>
  <si>
    <t xml:space="preserve">Zeynalov Samir </t>
  </si>
  <si>
    <t>Sifarişin tərtibatı</t>
  </si>
  <si>
    <t>Sifarişi qeydə aldı:</t>
  </si>
  <si>
    <t>Coşqun Vəliyev</t>
  </si>
  <si>
    <t>Satınalma bölməsi tərəfindən doldurulur.</t>
  </si>
  <si>
    <t xml:space="preserve"> </t>
  </si>
  <si>
    <t>Razılaşdırılıb: Xüsusi texniki bilik tələb edən avadanlıqlar üçün</t>
  </si>
  <si>
    <t>Təsdiq etdi:</t>
  </si>
  <si>
    <r>
      <rPr>
        <b/>
        <sz val="9"/>
        <rFont val="Times New Roman"/>
        <family val="1"/>
      </rPr>
      <t xml:space="preserve">Təsdiq etdi: </t>
    </r>
    <r>
      <rPr>
        <b/>
        <i/>
        <sz val="9"/>
        <color rgb="FF000000"/>
        <rFont val="Times New Roman"/>
        <family val="1"/>
      </rPr>
      <t>(əlavə təsdiqə ehtiyac yarandığı halda)_x000D_</t>
    </r>
    <phoneticPr fontId="0" type="noConversion"/>
  </si>
  <si>
    <t>Mühasibatlıq tərəfindən doldurulur</t>
  </si>
  <si>
    <t>Maliyyələşmə mənbəyi yoxlanıldı:</t>
  </si>
  <si>
    <t>Kənan Həmidov</t>
  </si>
  <si>
    <t>İşin icrası yoxlanıldı:</t>
  </si>
  <si>
    <t>Tarix</t>
  </si>
  <si>
    <t>Materiaı</t>
  </si>
  <si>
    <t>En</t>
  </si>
  <si>
    <t>Uz.</t>
  </si>
  <si>
    <t>Kv.</t>
  </si>
  <si>
    <t>AZN</t>
  </si>
  <si>
    <t>Məbləğ</t>
  </si>
  <si>
    <t>OBA REKLAM İŞLƏRİ</t>
  </si>
  <si>
    <t>04,03,2016</t>
  </si>
  <si>
    <t>Araz</t>
  </si>
  <si>
    <t>SUMQAYIT- BOZ VİNİL</t>
  </si>
  <si>
    <t>vinil seriy</t>
  </si>
  <si>
    <t>05,03,2016</t>
  </si>
  <si>
    <r>
      <rPr>
        <sz val="11"/>
        <rFont val="Calibri"/>
        <family val="1"/>
      </rPr>
      <t xml:space="preserve">rollap 8 mart </t>
    </r>
    <r>
      <rPr>
        <b/>
        <sz val="11"/>
        <color rgb="FF000000"/>
        <rFont val="Calibri"/>
        <family val="1"/>
      </rPr>
      <t>MONTAJ</t>
    </r>
    <r>
      <rPr>
        <sz val="11"/>
        <color rgb="FF000000"/>
        <rFont val="Calibri"/>
        <family val="1"/>
      </rPr>
      <t xml:space="preserve"> NEFTÇİLƏR_x000D_</t>
    </r>
    <phoneticPr fontId="0" type="noConversion"/>
  </si>
  <si>
    <t>baner</t>
  </si>
  <si>
    <r>
      <rPr>
        <sz val="11"/>
        <rFont val="Calibri"/>
        <family val="1"/>
      </rPr>
      <t xml:space="preserve">rollap 8 mart </t>
    </r>
    <r>
      <rPr>
        <b/>
        <sz val="11"/>
        <color rgb="FF000000"/>
        <rFont val="Calibri"/>
        <family val="1"/>
      </rPr>
      <t>MONTAJ</t>
    </r>
    <r>
      <rPr>
        <sz val="11"/>
        <color rgb="FF000000"/>
        <rFont val="Calibri"/>
        <family val="1"/>
      </rPr>
      <t xml:space="preserve"> SPAR_x000D_</t>
    </r>
    <phoneticPr fontId="0" type="noConversion"/>
  </si>
  <si>
    <r>
      <rPr>
        <sz val="11"/>
        <rFont val="Calibri"/>
        <family val="1"/>
      </rPr>
      <t xml:space="preserve">rollap 8 mart </t>
    </r>
    <r>
      <rPr>
        <b/>
        <sz val="11"/>
        <color rgb="FF000000"/>
        <rFont val="Calibri"/>
        <family val="1"/>
      </rPr>
      <t>MONTAJ</t>
    </r>
    <r>
      <rPr>
        <sz val="11"/>
        <color rgb="FF000000"/>
        <rFont val="Calibri"/>
        <family val="1"/>
      </rPr>
      <t xml:space="preserve"> TBİLİSİ_x000D_</t>
    </r>
    <phoneticPr fontId="0" type="noConversion"/>
  </si>
  <si>
    <t>rollap 8 mart BUZOVNA</t>
  </si>
  <si>
    <t>rollap 8 mart SARAY</t>
  </si>
  <si>
    <t>06,03,2016</t>
  </si>
  <si>
    <t>8 mart rollap ucun (xanımlar=ƏZİZ XANIMLAR)</t>
  </si>
  <si>
    <t>vinil</t>
  </si>
  <si>
    <t>07,03,2016</t>
  </si>
  <si>
    <t>BİNƏQƏDİ is vaxti</t>
  </si>
  <si>
    <t>FOREX QADAGANDİR</t>
  </si>
  <si>
    <t>09,03,2016</t>
  </si>
  <si>
    <t>bonus karti sertleri foreks</t>
  </si>
  <si>
    <t>Neftciler aluminium profil icinde qara lovhe</t>
  </si>
  <si>
    <t>Neftciler ucun aluminium profil</t>
  </si>
  <si>
    <t>11,03,2016</t>
  </si>
  <si>
    <t>buz vinil suvalan</t>
  </si>
  <si>
    <t>buz vinil</t>
  </si>
  <si>
    <t>Musteri qeydiyyat karti</t>
  </si>
  <si>
    <t>115 qr</t>
  </si>
  <si>
    <r>
      <rPr>
        <sz val="12"/>
        <rFont val="Droid Sans"/>
        <charset val="134"/>
      </rPr>
      <t xml:space="preserve">rollap 8 mart </t>
    </r>
    <r>
      <rPr>
        <b/>
        <sz val="11"/>
        <color rgb="FF000000"/>
        <rFont val="Calibri"/>
        <family val="1"/>
      </rPr>
      <t>MONTAJ</t>
    </r>
    <r>
      <rPr>
        <sz val="11"/>
        <color rgb="FF000000"/>
        <rFont val="Calibri"/>
        <family val="1"/>
      </rPr>
      <t xml:space="preserve"> NEFTÇİLƏR_x000D_</t>
    </r>
    <phoneticPr fontId="0" type="noConversion"/>
  </si>
  <si>
    <r>
      <rPr>
        <sz val="12"/>
        <rFont val="Droid Sans"/>
        <charset val="134"/>
      </rPr>
      <t xml:space="preserve">rollap 8 mart </t>
    </r>
    <r>
      <rPr>
        <b/>
        <sz val="11"/>
        <color rgb="FF000000"/>
        <rFont val="Calibri"/>
        <family val="1"/>
      </rPr>
      <t>MONTAJ</t>
    </r>
    <r>
      <rPr>
        <sz val="11"/>
        <color rgb="FF000000"/>
        <rFont val="Calibri"/>
        <family val="1"/>
      </rPr>
      <t xml:space="preserve"> SPAR_x000D_</t>
    </r>
    <phoneticPr fontId="0" type="noConversion"/>
  </si>
  <si>
    <r>
      <rPr>
        <sz val="12"/>
        <rFont val="Droid Sans"/>
        <charset val="134"/>
      </rPr>
      <t xml:space="preserve">rollap 8 mart </t>
    </r>
    <r>
      <rPr>
        <b/>
        <sz val="11"/>
        <color rgb="FF000000"/>
        <rFont val="Calibri"/>
        <family val="1"/>
      </rPr>
      <t>MONTAJ</t>
    </r>
    <r>
      <rPr>
        <sz val="11"/>
        <color rgb="FF000000"/>
        <rFont val="Calibri"/>
        <family val="1"/>
      </rPr>
      <t xml:space="preserve"> TBİLİSİ_x000D_</t>
    </r>
    <phoneticPr fontId="0" type="noConversion"/>
  </si>
  <si>
    <t>rollap 8 mart MONTAJ NEFTÇİLƏR</t>
  </si>
  <si>
    <t>rollap 8 mart MONTAJ SPAR</t>
  </si>
  <si>
    <t>rollap 8 mart MONTAJ TBİLİSİ</t>
  </si>
  <si>
    <t>Direktor:                                                            Mənsur Qasımov</t>
  </si>
  <si>
    <r>
      <t xml:space="preserve">Struktur/Layihə: Təndir Payım 1+2
 </t>
    </r>
    <r>
      <rPr>
        <b/>
        <sz val="11"/>
        <color rgb="FF0070C0"/>
        <rFont val="Calibri"/>
        <family val="1"/>
      </rPr>
      <t>_x000D_</t>
    </r>
  </si>
  <si>
    <t xml:space="preserve">Yoxdur </t>
  </si>
  <si>
    <t xml:space="preserve">Həsənov Rövşən </t>
  </si>
  <si>
    <t>Nvr Hikvision 8 Port</t>
  </si>
  <si>
    <t>ədəd</t>
  </si>
  <si>
    <t>HDD 4 TB Nvr üçün</t>
  </si>
  <si>
    <t xml:space="preserve">Monitor 28 diaqanal </t>
  </si>
  <si>
    <t>Poe svitich 8+2 port hikvision</t>
  </si>
  <si>
    <t>Kamera səs yazan  kassa üçün  hikvision</t>
  </si>
  <si>
    <t>Kamera içəri üçün hikvision</t>
  </si>
  <si>
    <t>Kamera cel gecə rəngli yazan</t>
  </si>
  <si>
    <t xml:space="preserve"> Djeklər (Shturmann CAT6 UTP EZ RJ45 Connector SLT) </t>
  </si>
  <si>
    <t xml:space="preserve">Mufta rj 45 </t>
  </si>
  <si>
    <t>Karobka kamera üçün CamBox LOTUS JB 411 Junction Box Whtoutdoor )</t>
  </si>
  <si>
    <t>Kamera içəri üçün analog hikvision</t>
  </si>
  <si>
    <t>Kamera kassa üçün səs yazan analog hikvision</t>
  </si>
  <si>
    <t>Kamera cel gecər rəngli yazan analog hikvision</t>
  </si>
  <si>
    <t xml:space="preserve">Bnc kabel analog kamernın başlığı </t>
  </si>
  <si>
    <t>AC\DC kabel analog kameranın başlığı</t>
  </si>
  <si>
    <t>Gida blok 10 yada 15 amper (Reşotka blok pitaniya)</t>
  </si>
  <si>
    <t>0065</t>
  </si>
  <si>
    <r>
      <t>Qeyd: Orta</t>
    </r>
    <r>
      <rPr>
        <b/>
        <u/>
        <sz val="11"/>
        <color rgb="FF000000"/>
        <rFont val="Times New Roman"/>
        <family val="1"/>
      </rPr>
      <t xml:space="preserve">    </t>
    </r>
  </si>
  <si>
    <t>s</t>
  </si>
  <si>
    <t>Təsdiq etdi: Satınalma</t>
  </si>
  <si>
    <t>Məhsul</t>
  </si>
  <si>
    <t>HIKVISION - DS-7108NI-Q1 (8-ch/1 HDD) Mini 1U NVR</t>
  </si>
  <si>
    <t>HIKVISION - DS40HKVS-VX1 (4TB/5400RPM)</t>
  </si>
  <si>
    <t>DAHUA MONITOR 28"inch - ( DHI-LM28-V400 )</t>
  </si>
  <si>
    <t>HIKVISION - DS-3E0310HP-E(C) (8 Port Fast Ethernet Unmanaged POE Switch/110 W)</t>
  </si>
  <si>
    <t>HIKVISION - DS-2CD1H23G2-IZ (2.8-12mm) 2MP IR30m/LED30m 2.0 Varifocal Turret Network Camera</t>
  </si>
  <si>
    <t>HIKVISION - DS-2CD1323G2-I (2.8mm) 2 MP 2.0 Fixed Turret Network Camera</t>
  </si>
  <si>
    <t>HIKVISION - DS-2CD1027G2H-LIU (2.8mm) 2 MP IR30m ColorVu with Smart Hybrid Light Fixed Bullet Network Camera</t>
  </si>
  <si>
    <t>TPLİNK RJ45 UTP CAT 6 PAKET (100 PCS)</t>
  </si>
  <si>
    <t>VOLTAM VH-57 RJ45 8P8C coupler</t>
  </si>
  <si>
    <t>RBOX Junction Box</t>
  </si>
  <si>
    <t>HIKVISION - DS-2CE56D0T-IRP C(2.8mm) 2MP IR20m Fixed Turret Camera</t>
  </si>
  <si>
    <t>HIKVISION - DS-2CE79D3T-IT3ZF (2.7-13.5mm) 2MP IR70m Ultra Low Light Motorized Varifocal Turret Camera</t>
  </si>
  <si>
    <t>HIKVISION - DS-2CE10DF3T-F (3.6mm) 2MP IR20m ColorVu Fixed Mini Bullet Camera</t>
  </si>
  <si>
    <t>VOLTAM BNC TO BNC CABLE JD12-AV007</t>
  </si>
  <si>
    <t>VOLTAM Dc Male Cable 50ohm/75ohm</t>
  </si>
  <si>
    <t>VOLTAM CCTV Power Supply 12V 15A / 180W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</si>
</sst>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\-d;@"/>
    <numFmt numFmtId="165" formatCode="0.0"/>
    <numFmt numFmtId="166" formatCode="_-[$₼-42C]\ * #,##0_-;\-[$₼-42C]\ * #,##0_-;_-[$₼-42C]\ * &quot;-&quot;??_-;_-@_-"/>
    <numFmt numFmtId="167" formatCode="_-* #,##0_-;\-* #,##0_-;_-* &quot;-&quot;??_-;_-@_-"/>
    <numFmt numFmtId="168" formatCode="#,##0.00\ &quot;₼&quot;"/>
  </numFmts>
  <fonts count="27">
    <font>
      <sz val="11"/>
      <name val="Calibri"/>
      <family val="1"/>
    </font>
    <font>
      <sz val="11"/>
      <name val="Calibri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name val="Calibri"/>
      <family val="1"/>
    </font>
    <font>
      <b/>
      <sz val="9"/>
      <name val="Times New Roman"/>
      <family val="1"/>
    </font>
    <font>
      <b/>
      <sz val="9"/>
      <name val="Times New Roman"/>
      <family val="1"/>
    </font>
    <font>
      <sz val="11"/>
      <name val="Tahoma"/>
      <family val="2"/>
    </font>
    <font>
      <sz val="12"/>
      <name val="Tahoma"/>
      <family val="2"/>
    </font>
    <font>
      <b/>
      <sz val="10"/>
      <name val="Times New Roman"/>
      <family val="1"/>
    </font>
    <font>
      <b/>
      <u/>
      <sz val="11"/>
      <name val="Times New Roman"/>
      <family val="1"/>
    </font>
    <font>
      <b/>
      <sz val="11"/>
      <color rgb="FF0070C0"/>
      <name val="Calibri"/>
      <family val="1"/>
    </font>
    <font>
      <b/>
      <i/>
      <sz val="9"/>
      <name val="Times New Roman"/>
      <family val="1"/>
    </font>
    <font>
      <sz val="9"/>
      <name val="Times New Roman"/>
      <family val="1"/>
    </font>
    <font>
      <b/>
      <sz val="11"/>
      <name val="Times New Roman"/>
      <family val="1"/>
    </font>
    <font>
      <b/>
      <sz val="11"/>
      <name val="Calibri"/>
      <family val="1"/>
    </font>
    <font>
      <b/>
      <sz val="16"/>
      <name val="Calibri"/>
      <family val="1"/>
    </font>
    <font>
      <b/>
      <i/>
      <sz val="16"/>
      <name val="Calibri"/>
      <family val="1"/>
    </font>
    <font>
      <b/>
      <sz val="12"/>
      <name val="Times New Roman"/>
      <family val="1"/>
    </font>
    <font>
      <b/>
      <sz val="11"/>
      <name val="Tahoma"/>
      <family val="2"/>
    </font>
    <font>
      <b/>
      <sz val="10"/>
      <name val="Times New Roman"/>
      <family val="1"/>
    </font>
    <font>
      <b/>
      <u/>
      <sz val="11"/>
      <color rgb="FF000000"/>
      <name val="Times New Roman"/>
      <family val="1"/>
    </font>
    <font>
      <b/>
      <i/>
      <sz val="9"/>
      <color rgb="FF000000"/>
      <name val="Times New Roman"/>
      <family val="1"/>
    </font>
    <font>
      <b/>
      <sz val="11"/>
      <color rgb="FF000000"/>
      <name val="Calibri"/>
      <family val="1"/>
    </font>
    <font>
      <sz val="11"/>
      <color rgb="FF000000"/>
      <name val="Calibri"/>
      <family val="1"/>
    </font>
    <font>
      <sz val="12"/>
      <name val="Droid Sans"/>
      <charset val="134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9900"/>
        <bgColor indexed="64"/>
      </patternFill>
    </fill>
  </fills>
  <borders count="9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/>
  </cellStyleXfs>
  <cellXfs count="175"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164" fontId="1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165" fontId="1" fillId="0" borderId="6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left"/>
    </xf>
    <xf numFmtId="165" fontId="1" fillId="0" borderId="12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165" fontId="1" fillId="0" borderId="14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164" fontId="1" fillId="3" borderId="16" xfId="0" applyNumberFormat="1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left"/>
    </xf>
    <xf numFmtId="165" fontId="1" fillId="3" borderId="19" xfId="0" applyNumberFormat="1" applyFont="1" applyFill="1" applyBorder="1" applyAlignment="1">
      <alignment horizontal="center"/>
    </xf>
    <xf numFmtId="165" fontId="1" fillId="3" borderId="20" xfId="0" applyNumberFormat="1" applyFont="1" applyFill="1" applyBorder="1" applyAlignment="1">
      <alignment horizontal="center"/>
    </xf>
    <xf numFmtId="0" fontId="1" fillId="3" borderId="0" xfId="0" applyFont="1" applyFill="1" applyAlignment="1"/>
    <xf numFmtId="0" fontId="1" fillId="3" borderId="2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left"/>
    </xf>
    <xf numFmtId="165" fontId="1" fillId="3" borderId="23" xfId="0" applyNumberFormat="1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 vertical="center"/>
    </xf>
    <xf numFmtId="165" fontId="1" fillId="3" borderId="25" xfId="0" applyNumberFormat="1" applyFont="1" applyFill="1" applyBorder="1" applyAlignment="1">
      <alignment horizontal="center"/>
    </xf>
    <xf numFmtId="164" fontId="1" fillId="3" borderId="26" xfId="0" applyNumberFormat="1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left"/>
    </xf>
    <xf numFmtId="165" fontId="1" fillId="3" borderId="29" xfId="0" applyNumberFormat="1" applyFont="1" applyFill="1" applyBorder="1" applyAlignment="1">
      <alignment horizontal="center"/>
    </xf>
    <xf numFmtId="0" fontId="1" fillId="3" borderId="30" xfId="0" applyFont="1" applyFill="1" applyBorder="1" applyAlignment="1">
      <alignment horizontal="center" vertical="center"/>
    </xf>
    <xf numFmtId="165" fontId="1" fillId="3" borderId="31" xfId="0" applyNumberFormat="1" applyFont="1" applyFill="1" applyBorder="1" applyAlignment="1">
      <alignment horizontal="center"/>
    </xf>
    <xf numFmtId="2" fontId="1" fillId="0" borderId="32" xfId="0" applyNumberFormat="1" applyFont="1" applyBorder="1" applyAlignment="1">
      <alignment horizontal="center"/>
    </xf>
    <xf numFmtId="0" fontId="1" fillId="3" borderId="33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0" fontId="1" fillId="2" borderId="36" xfId="0" applyFont="1" applyFill="1" applyBorder="1" applyAlignment="1">
      <alignment horizontal="left"/>
    </xf>
    <xf numFmtId="165" fontId="1" fillId="2" borderId="37" xfId="0" applyNumberFormat="1" applyFont="1" applyFill="1" applyBorder="1" applyAlignment="1">
      <alignment horizontal="center"/>
    </xf>
    <xf numFmtId="0" fontId="1" fillId="2" borderId="38" xfId="0" applyFont="1" applyFill="1" applyBorder="1" applyAlignment="1">
      <alignment horizontal="center" vertical="center"/>
    </xf>
    <xf numFmtId="165" fontId="1" fillId="2" borderId="39" xfId="0" applyNumberFormat="1" applyFont="1" applyFill="1" applyBorder="1" applyAlignment="1">
      <alignment horizontal="center"/>
    </xf>
    <xf numFmtId="164" fontId="1" fillId="3" borderId="40" xfId="0" applyNumberFormat="1" applyFont="1" applyFill="1" applyBorder="1" applyAlignment="1">
      <alignment horizontal="center"/>
    </xf>
    <xf numFmtId="165" fontId="1" fillId="0" borderId="0" xfId="0" applyNumberFormat="1" applyFont="1" applyAlignment="1"/>
    <xf numFmtId="164" fontId="1" fillId="4" borderId="41" xfId="0" applyNumberFormat="1" applyFont="1" applyFill="1" applyBorder="1" applyAlignment="1">
      <alignment horizontal="center"/>
    </xf>
    <xf numFmtId="0" fontId="1" fillId="4" borderId="42" xfId="0" applyFont="1" applyFill="1" applyBorder="1" applyAlignment="1">
      <alignment horizontal="center"/>
    </xf>
    <xf numFmtId="0" fontId="1" fillId="4" borderId="43" xfId="0" applyFont="1" applyFill="1" applyBorder="1" applyAlignment="1">
      <alignment horizontal="left"/>
    </xf>
    <xf numFmtId="165" fontId="1" fillId="4" borderId="44" xfId="0" applyNumberFormat="1" applyFont="1" applyFill="1" applyBorder="1" applyAlignment="1">
      <alignment horizontal="center"/>
    </xf>
    <xf numFmtId="0" fontId="1" fillId="4" borderId="45" xfId="0" applyFont="1" applyFill="1" applyBorder="1" applyAlignment="1">
      <alignment horizontal="center" vertical="center"/>
    </xf>
    <xf numFmtId="165" fontId="1" fillId="4" borderId="46" xfId="0" applyNumberFormat="1" applyFont="1" applyFill="1" applyBorder="1" applyAlignment="1">
      <alignment horizontal="center"/>
    </xf>
    <xf numFmtId="0" fontId="1" fillId="4" borderId="0" xfId="0" applyFont="1" applyFill="1" applyAlignment="1"/>
    <xf numFmtId="164" fontId="1" fillId="4" borderId="47" xfId="0" applyNumberFormat="1" applyFont="1" applyFill="1" applyBorder="1" applyAlignment="1">
      <alignment horizontal="center"/>
    </xf>
    <xf numFmtId="0" fontId="1" fillId="4" borderId="48" xfId="0" applyFont="1" applyFill="1" applyBorder="1" applyAlignment="1">
      <alignment horizontal="center"/>
    </xf>
    <xf numFmtId="0" fontId="1" fillId="4" borderId="49" xfId="0" applyFont="1" applyFill="1" applyBorder="1" applyAlignment="1">
      <alignment horizontal="left"/>
    </xf>
    <xf numFmtId="165" fontId="1" fillId="4" borderId="50" xfId="0" applyNumberFormat="1" applyFont="1" applyFill="1" applyBorder="1" applyAlignment="1">
      <alignment horizontal="center"/>
    </xf>
    <xf numFmtId="0" fontId="1" fillId="4" borderId="51" xfId="0" applyFont="1" applyFill="1" applyBorder="1" applyAlignment="1">
      <alignment horizontal="center" vertical="center"/>
    </xf>
    <xf numFmtId="165" fontId="1" fillId="4" borderId="52" xfId="0" applyNumberFormat="1" applyFont="1" applyFill="1" applyBorder="1" applyAlignment="1">
      <alignment horizontal="center"/>
    </xf>
    <xf numFmtId="0" fontId="2" fillId="0" borderId="0" xfId="0" applyFont="1" applyAlignment="1">
      <alignment vertical="center" wrapText="1"/>
    </xf>
    <xf numFmtId="0" fontId="3" fillId="5" borderId="53" xfId="0" applyFont="1" applyFill="1" applyBorder="1" applyAlignment="1">
      <alignment horizontal="center" vertical="center" wrapText="1"/>
    </xf>
    <xf numFmtId="0" fontId="1" fillId="6" borderId="54" xfId="0" applyFont="1" applyFill="1" applyBorder="1" applyAlignment="1"/>
    <xf numFmtId="0" fontId="3" fillId="5" borderId="56" xfId="0" applyFont="1" applyFill="1" applyBorder="1" applyAlignment="1">
      <alignment horizontal="center" vertical="center" wrapText="1"/>
    </xf>
    <xf numFmtId="168" fontId="26" fillId="0" borderId="55" xfId="0" applyNumberFormat="1" applyFont="1" applyBorder="1" applyAlignment="1">
      <alignment horizontal="left" vertical="center" wrapText="1"/>
    </xf>
    <xf numFmtId="0" fontId="0" fillId="0" borderId="55" xfId="0" applyFont="1" applyBorder="1" applyAlignment="1">
      <alignment horizontal="center" vertical="center" wrapText="1"/>
    </xf>
    <xf numFmtId="0" fontId="1" fillId="0" borderId="71" xfId="0" applyFont="1" applyBorder="1" applyAlignment="1">
      <alignment horizontal="center" vertical="center" wrapText="1"/>
    </xf>
    <xf numFmtId="0" fontId="4" fillId="0" borderId="64" xfId="0" applyFont="1" applyBorder="1" applyAlignment="1"/>
    <xf numFmtId="14" fontId="11" fillId="0" borderId="77" xfId="0" applyNumberFormat="1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0" fontId="26" fillId="5" borderId="59" xfId="0" applyFont="1" applyFill="1" applyBorder="1" applyAlignment="1">
      <alignment horizontal="center" vertical="center" wrapText="1"/>
    </xf>
    <xf numFmtId="0" fontId="7" fillId="6" borderId="55" xfId="0" applyFont="1" applyFill="1" applyBorder="1" applyAlignment="1">
      <alignment vertical="center"/>
    </xf>
    <xf numFmtId="166" fontId="7" fillId="6" borderId="55" xfId="0" applyNumberFormat="1" applyFont="1" applyFill="1" applyBorder="1" applyAlignment="1">
      <alignment horizontal="center" vertical="center" wrapText="1"/>
    </xf>
    <xf numFmtId="167" fontId="8" fillId="6" borderId="55" xfId="1" applyNumberFormat="1" applyFont="1" applyFill="1" applyBorder="1" applyAlignment="1">
      <alignment horizontal="center" vertical="center" wrapText="1"/>
    </xf>
    <xf numFmtId="0" fontId="5" fillId="0" borderId="77" xfId="0" applyFont="1" applyBorder="1" applyAlignment="1">
      <alignment horizontal="left" vertical="center"/>
    </xf>
    <xf numFmtId="0" fontId="6" fillId="0" borderId="77" xfId="0" applyFont="1" applyBorder="1" applyAlignment="1">
      <alignment horizontal="left" vertical="center" wrapText="1"/>
    </xf>
    <xf numFmtId="0" fontId="6" fillId="0" borderId="81" xfId="0" applyFont="1" applyBorder="1" applyAlignment="1">
      <alignment horizontal="left" vertical="center"/>
    </xf>
    <xf numFmtId="0" fontId="3" fillId="6" borderId="87" xfId="0" applyFont="1" applyFill="1" applyBorder="1" applyAlignment="1">
      <alignment horizontal="center" vertical="center" wrapText="1"/>
    </xf>
    <xf numFmtId="0" fontId="3" fillId="5" borderId="4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3" fillId="0" borderId="79" xfId="0" applyFont="1" applyBorder="1" applyAlignment="1">
      <alignment horizontal="center" vertical="center"/>
    </xf>
    <xf numFmtId="0" fontId="12" fillId="6" borderId="86" xfId="0" applyFont="1" applyFill="1" applyBorder="1" applyAlignment="1">
      <alignment horizontal="center" vertical="center"/>
    </xf>
    <xf numFmtId="0" fontId="6" fillId="0" borderId="86" xfId="0" applyFont="1" applyBorder="1" applyAlignment="1">
      <alignment horizontal="left" vertical="center"/>
    </xf>
    <xf numFmtId="0" fontId="13" fillId="0" borderId="79" xfId="0" applyFont="1" applyBorder="1" applyAlignment="1">
      <alignment horizontal="center" vertical="center" wrapText="1"/>
    </xf>
    <xf numFmtId="0" fontId="13" fillId="0" borderId="80" xfId="0" applyFont="1" applyBorder="1" applyAlignment="1">
      <alignment horizontal="center" vertical="center" wrapText="1"/>
    </xf>
    <xf numFmtId="0" fontId="13" fillId="0" borderId="79" xfId="0" applyFont="1" applyBorder="1" applyAlignment="1">
      <alignment horizontal="center" vertical="center" wrapText="1"/>
    </xf>
    <xf numFmtId="0" fontId="13" fillId="0" borderId="78" xfId="0" applyFont="1" applyBorder="1" applyAlignment="1">
      <alignment horizontal="center" vertical="center" wrapText="1"/>
    </xf>
    <xf numFmtId="0" fontId="14" fillId="6" borderId="79" xfId="0" applyFont="1" applyFill="1" applyBorder="1" applyAlignment="1">
      <alignment horizontal="left"/>
    </xf>
    <xf numFmtId="0" fontId="14" fillId="6" borderId="78" xfId="0" applyFont="1" applyFill="1" applyBorder="1" applyAlignment="1">
      <alignment horizontal="left"/>
    </xf>
    <xf numFmtId="0" fontId="2" fillId="0" borderId="80" xfId="0" applyFont="1" applyBorder="1" applyAlignment="1">
      <alignment horizontal="center" vertical="center" wrapText="1"/>
    </xf>
    <xf numFmtId="0" fontId="18" fillId="0" borderId="79" xfId="0" applyFont="1" applyBorder="1" applyAlignment="1">
      <alignment horizontal="center" vertical="center" wrapText="1"/>
    </xf>
    <xf numFmtId="0" fontId="18" fillId="0" borderId="78" xfId="0" applyFont="1" applyBorder="1" applyAlignment="1">
      <alignment horizontal="center" vertical="center" wrapText="1"/>
    </xf>
    <xf numFmtId="0" fontId="0" fillId="6" borderId="76" xfId="0" applyFill="1" applyBorder="1" applyAlignment="1">
      <alignment horizontal="center"/>
    </xf>
    <xf numFmtId="0" fontId="0" fillId="6" borderId="75" xfId="0" applyFill="1" applyBorder="1" applyAlignment="1">
      <alignment horizontal="center"/>
    </xf>
    <xf numFmtId="0" fontId="1" fillId="6" borderId="74" xfId="0" applyFont="1" applyFill="1" applyBorder="1" applyAlignment="1">
      <alignment horizontal="center"/>
    </xf>
    <xf numFmtId="0" fontId="13" fillId="0" borderId="80" xfId="0" applyFont="1" applyBorder="1" applyAlignment="1">
      <alignment horizontal="center" vertical="center"/>
    </xf>
    <xf numFmtId="0" fontId="13" fillId="0" borderId="77" xfId="0" applyFont="1" applyBorder="1" applyAlignment="1">
      <alignment horizontal="center" vertical="center"/>
    </xf>
    <xf numFmtId="0" fontId="20" fillId="0" borderId="80" xfId="0" applyFont="1" applyBorder="1" applyAlignment="1">
      <alignment horizontal="center" vertical="center"/>
    </xf>
    <xf numFmtId="0" fontId="20" fillId="0" borderId="79" xfId="0" applyFont="1" applyBorder="1" applyAlignment="1">
      <alignment horizontal="center" vertical="center"/>
    </xf>
    <xf numFmtId="0" fontId="20" fillId="0" borderId="78" xfId="0" applyFont="1" applyBorder="1" applyAlignment="1">
      <alignment horizontal="center" vertical="center"/>
    </xf>
    <xf numFmtId="0" fontId="14" fillId="6" borderId="73" xfId="0" applyFont="1" applyFill="1" applyBorder="1" applyAlignment="1">
      <alignment horizontal="left"/>
    </xf>
    <xf numFmtId="0" fontId="14" fillId="6" borderId="72" xfId="0" applyFont="1" applyFill="1" applyBorder="1" applyAlignment="1">
      <alignment horizontal="left"/>
    </xf>
    <xf numFmtId="0" fontId="13" fillId="0" borderId="77" xfId="0" applyFont="1" applyBorder="1" applyAlignment="1">
      <alignment horizontal="center" vertical="center" wrapText="1"/>
    </xf>
    <xf numFmtId="0" fontId="1" fillId="0" borderId="80" xfId="0" applyFont="1" applyBorder="1" applyAlignment="1">
      <alignment horizontal="center"/>
    </xf>
    <xf numFmtId="0" fontId="1" fillId="0" borderId="77" xfId="0" applyFont="1" applyBorder="1" applyAlignment="1">
      <alignment horizontal="center"/>
    </xf>
    <xf numFmtId="0" fontId="9" fillId="0" borderId="80" xfId="0" applyFont="1" applyBorder="1" applyAlignment="1">
      <alignment horizontal="center" vertical="center" wrapText="1"/>
    </xf>
    <xf numFmtId="0" fontId="9" fillId="0" borderId="79" xfId="0" applyFont="1" applyBorder="1" applyAlignment="1">
      <alignment horizontal="center" vertical="center" wrapText="1"/>
    </xf>
    <xf numFmtId="0" fontId="9" fillId="0" borderId="78" xfId="0" applyFont="1" applyBorder="1" applyAlignment="1">
      <alignment horizontal="center" vertical="center" wrapText="1"/>
    </xf>
    <xf numFmtId="0" fontId="0" fillId="0" borderId="84" xfId="0" applyBorder="1" applyAlignment="1">
      <alignment horizontal="center"/>
    </xf>
    <xf numFmtId="0" fontId="0" fillId="0" borderId="81" xfId="0" applyBorder="1" applyAlignment="1">
      <alignment horizontal="center"/>
    </xf>
    <xf numFmtId="0" fontId="13" fillId="0" borderId="84" xfId="0" applyFont="1" applyBorder="1" applyAlignment="1">
      <alignment horizontal="center" vertical="center" wrapText="1"/>
    </xf>
    <xf numFmtId="0" fontId="13" fillId="0" borderId="83" xfId="0" applyFont="1" applyBorder="1" applyAlignment="1">
      <alignment horizontal="center" vertical="center" wrapText="1"/>
    </xf>
    <xf numFmtId="0" fontId="13" fillId="0" borderId="82" xfId="0" applyFont="1" applyBorder="1" applyAlignment="1">
      <alignment horizontal="center" vertical="center" wrapText="1"/>
    </xf>
    <xf numFmtId="0" fontId="0" fillId="0" borderId="58" xfId="0" applyBorder="1" applyAlignment="1">
      <alignment horizontal="center"/>
    </xf>
    <xf numFmtId="0" fontId="0" fillId="0" borderId="57" xfId="0" applyBorder="1" applyAlignment="1">
      <alignment horizontal="center"/>
    </xf>
    <xf numFmtId="0" fontId="10" fillId="0" borderId="64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4" fillId="0" borderId="85" xfId="0" applyFont="1" applyBorder="1" applyAlignment="1">
      <alignment horizontal="left" vertical="top" wrapText="1"/>
    </xf>
    <xf numFmtId="0" fontId="15" fillId="0" borderId="79" xfId="0" applyFont="1" applyBorder="1" applyAlignment="1">
      <alignment horizontal="left" vertical="top"/>
    </xf>
    <xf numFmtId="0" fontId="17" fillId="0" borderId="62" xfId="0" applyFont="1" applyBorder="1" applyAlignment="1">
      <alignment horizontal="center" vertical="center"/>
    </xf>
    <xf numFmtId="0" fontId="16" fillId="0" borderId="62" xfId="0" applyFont="1" applyBorder="1" applyAlignment="1">
      <alignment horizontal="center" vertical="center"/>
    </xf>
    <xf numFmtId="0" fontId="16" fillId="0" borderId="61" xfId="0" applyFont="1" applyBorder="1" applyAlignment="1">
      <alignment horizontal="center" vertical="center"/>
    </xf>
    <xf numFmtId="0" fontId="16" fillId="0" borderId="60" xfId="0" applyFont="1" applyBorder="1" applyAlignment="1">
      <alignment horizontal="center" vertical="center"/>
    </xf>
    <xf numFmtId="0" fontId="16" fillId="0" borderId="86" xfId="0" applyFont="1" applyBorder="1" applyAlignment="1">
      <alignment horizontal="center" vertical="center"/>
    </xf>
    <xf numFmtId="0" fontId="16" fillId="0" borderId="80" xfId="0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0" fontId="14" fillId="0" borderId="70" xfId="0" applyFont="1" applyBorder="1" applyAlignment="1">
      <alignment horizontal="left" vertical="center" wrapText="1"/>
    </xf>
    <xf numFmtId="0" fontId="14" fillId="0" borderId="69" xfId="0" applyFont="1" applyBorder="1" applyAlignment="1">
      <alignment horizontal="left" vertical="center" wrapText="1"/>
    </xf>
    <xf numFmtId="0" fontId="14" fillId="0" borderId="68" xfId="0" applyFont="1" applyBorder="1" applyAlignment="1">
      <alignment horizontal="left" vertical="center" wrapText="1"/>
    </xf>
    <xf numFmtId="0" fontId="14" fillId="0" borderId="67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center" wrapText="1"/>
    </xf>
    <xf numFmtId="0" fontId="14" fillId="0" borderId="63" xfId="0" applyFont="1" applyBorder="1" applyAlignment="1">
      <alignment horizontal="left" vertical="center" wrapText="1"/>
    </xf>
    <xf numFmtId="0" fontId="14" fillId="0" borderId="71" xfId="0" applyFont="1" applyBorder="1" applyAlignment="1">
      <alignment horizontal="left" vertical="center" wrapText="1"/>
    </xf>
    <xf numFmtId="0" fontId="14" fillId="0" borderId="73" xfId="0" applyFont="1" applyBorder="1" applyAlignment="1">
      <alignment horizontal="left" vertical="center" wrapText="1"/>
    </xf>
    <xf numFmtId="0" fontId="14" fillId="0" borderId="72" xfId="0" applyFont="1" applyBorder="1" applyAlignment="1">
      <alignment horizontal="left" vertical="center" wrapText="1"/>
    </xf>
    <xf numFmtId="0" fontId="0" fillId="6" borderId="66" xfId="0" applyFill="1" applyBorder="1" applyAlignment="1">
      <alignment horizontal="center"/>
    </xf>
    <xf numFmtId="0" fontId="0" fillId="6" borderId="65" xfId="0" applyFill="1" applyBorder="1" applyAlignment="1">
      <alignment horizontal="center"/>
    </xf>
    <xf numFmtId="0" fontId="0" fillId="6" borderId="64" xfId="0" applyFill="1" applyBorder="1" applyAlignment="1">
      <alignment horizontal="center"/>
    </xf>
    <xf numFmtId="0" fontId="15" fillId="0" borderId="70" xfId="0" applyFont="1" applyBorder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15" fillId="0" borderId="68" xfId="0" applyFont="1" applyBorder="1" applyAlignment="1">
      <alignment horizontal="left" vertical="center"/>
    </xf>
    <xf numFmtId="0" fontId="15" fillId="0" borderId="67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13" fillId="0" borderId="79" xfId="0" applyFont="1" applyBorder="1" applyAlignment="1">
      <alignment horizontal="center" vertical="center"/>
    </xf>
    <xf numFmtId="0" fontId="13" fillId="0" borderId="78" xfId="0" applyFont="1" applyBorder="1" applyAlignment="1">
      <alignment horizontal="center" vertical="center"/>
    </xf>
    <xf numFmtId="0" fontId="12" fillId="6" borderId="86" xfId="0" applyFont="1" applyFill="1" applyBorder="1" applyAlignment="1">
      <alignment horizontal="center" vertical="center"/>
    </xf>
    <xf numFmtId="0" fontId="6" fillId="0" borderId="86" xfId="0" applyFont="1" applyBorder="1" applyAlignment="1">
      <alignment horizontal="left" vertical="center"/>
    </xf>
    <xf numFmtId="0" fontId="12" fillId="6" borderId="80" xfId="0" applyFont="1" applyFill="1" applyBorder="1" applyAlignment="1">
      <alignment horizontal="center" vertical="center"/>
    </xf>
    <xf numFmtId="0" fontId="12" fillId="6" borderId="59" xfId="0" applyFont="1" applyFill="1" applyBorder="1" applyAlignment="1">
      <alignment horizontal="center" vertical="center"/>
    </xf>
    <xf numFmtId="0" fontId="5" fillId="0" borderId="86" xfId="0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14" fillId="6" borderId="85" xfId="0" applyFont="1" applyFill="1" applyBorder="1" applyAlignment="1">
      <alignment horizontal="center" vertical="center"/>
    </xf>
    <xf numFmtId="0" fontId="14" fillId="6" borderId="77" xfId="0" applyFont="1" applyFill="1" applyBorder="1" applyAlignment="1">
      <alignment horizontal="center" vertical="center"/>
    </xf>
    <xf numFmtId="0" fontId="6" fillId="0" borderId="85" xfId="0" applyFont="1" applyBorder="1" applyAlignment="1">
      <alignment horizontal="center" vertical="center"/>
    </xf>
    <xf numFmtId="0" fontId="6" fillId="0" borderId="77" xfId="0" applyFont="1" applyBorder="1" applyAlignment="1">
      <alignment horizontal="center" vertical="center"/>
    </xf>
    <xf numFmtId="0" fontId="18" fillId="0" borderId="85" xfId="0" applyFont="1" applyBorder="1" applyAlignment="1">
      <alignment horizontal="center" vertical="center" wrapText="1"/>
    </xf>
    <xf numFmtId="0" fontId="6" fillId="0" borderId="80" xfId="0" applyFont="1" applyBorder="1" applyAlignment="1">
      <alignment horizontal="center" vertical="center"/>
    </xf>
    <xf numFmtId="0" fontId="6" fillId="0" borderId="79" xfId="0" applyFont="1" applyBorder="1" applyAlignment="1">
      <alignment horizontal="center" vertical="center"/>
    </xf>
    <xf numFmtId="0" fontId="6" fillId="0" borderId="78" xfId="0" applyFont="1" applyBorder="1" applyAlignment="1">
      <alignment horizontal="center" vertical="center"/>
    </xf>
    <xf numFmtId="167" fontId="8" fillId="6" borderId="71" xfId="1" applyNumberFormat="1" applyFont="1" applyFill="1" applyBorder="1" applyAlignment="1">
      <alignment horizontal="center" vertical="center" wrapText="1"/>
    </xf>
    <xf numFmtId="0" fontId="6" fillId="0" borderId="80" xfId="0" applyFont="1" applyBorder="1" applyAlignment="1">
      <alignment horizontal="left" vertical="center"/>
    </xf>
    <xf numFmtId="0" fontId="1" fillId="0" borderId="79" xfId="0" applyFont="1" applyBorder="1" applyAlignment="1">
      <alignment horizontal="center"/>
    </xf>
    <xf numFmtId="0" fontId="0" fillId="0" borderId="83" xfId="0" applyBorder="1" applyAlignment="1">
      <alignment horizontal="center"/>
    </xf>
    <xf numFmtId="0" fontId="3" fillId="5" borderId="88" xfId="0" applyFont="1" applyFill="1" applyBorder="1" applyAlignment="1">
      <alignment horizontal="center" vertical="center" wrapText="1"/>
    </xf>
    <xf numFmtId="0" fontId="15" fillId="0" borderId="63" xfId="0" applyFont="1" applyBorder="1" applyAlignment="1">
      <alignment horizontal="left" vertical="center"/>
    </xf>
    <xf numFmtId="0" fontId="26" fillId="5" borderId="89" xfId="0" applyFont="1" applyFill="1" applyBorder="1" applyAlignment="1">
      <alignment horizontal="center" vertical="center" wrapText="1"/>
    </xf>
    <xf numFmtId="0" fontId="3" fillId="5" borderId="86" xfId="0" applyFont="1" applyFill="1" applyBorder="1" applyAlignment="1">
      <alignment horizontal="center" vertical="center" wrapText="1"/>
    </xf>
    <xf numFmtId="2" fontId="3" fillId="5" borderId="55" xfId="0" applyNumberFormat="1" applyFont="1" applyFill="1" applyBorder="1" applyAlignment="1">
      <alignment vertical="center" wrapText="1"/>
    </xf>
    <xf numFmtId="2" fontId="3" fillId="5" borderId="86" xfId="0" applyNumberFormat="1" applyFont="1" applyFill="1" applyBorder="1" applyAlignment="1">
      <alignment vertical="center" wrapText="1"/>
    </xf>
    <xf numFmtId="166" fontId="19" fillId="6" borderId="71" xfId="0" applyNumberFormat="1" applyFont="1" applyFill="1" applyBorder="1" applyAlignment="1">
      <alignment vertical="center"/>
    </xf>
    <xf numFmtId="166" fontId="19" fillId="6" borderId="73" xfId="0" applyNumberFormat="1" applyFont="1" applyFill="1" applyBorder="1" applyAlignment="1">
      <alignment vertical="center"/>
    </xf>
    <xf numFmtId="166" fontId="19" fillId="6" borderId="72" xfId="0" applyNumberFormat="1" applyFont="1" applyFill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381000</xdr:colOff>
      <xdr:row>2</xdr:row>
      <xdr:rowOff>30476</xdr:rowOff>
    </xdr:from>
    <xdr:to>
      <xdr:col>2</xdr:col>
      <xdr:colOff>2080260</xdr:colOff>
      <xdr:row>6</xdr:row>
      <xdr:rowOff>203485</xdr:rowOff>
    </xdr:to>
    <xdr:pic>
      <xdr:nvPicPr>
        <xdr:cNvPr id="3" name="Pictur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5839" y="601967"/>
          <a:ext cx="1699260" cy="1211218"/>
        </a:xfrm>
        <a:prstGeom prst="rect">
          <a:avLst/>
        </a:prstGeom>
        <a:noFill/>
        <a:ln w="12700" cap="flat" cmpd="sng">
          <a:noFill/>
          <a:prstDash val="solid"/>
          <a:miter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3"/>
  <sheetViews>
    <sheetView tabSelected="1" topLeftCell="A22" zoomScaleNormal="100" workbookViewId="0">
      <selection activeCell="C36" sqref="C36:I36"/>
    </sheetView>
  </sheetViews>
  <sheetFormatPr defaultColWidth="9" defaultRowHeight="14.4"/>
  <cols>
    <col min="1" max="1" width="2.88671875" customWidth="1"/>
    <col min="2" max="2" width="6.33203125" customWidth="1"/>
    <col min="3" max="3" width="36" customWidth="1"/>
    <col min="4" max="4" width="8.77734375" customWidth="1"/>
    <col min="5" max="5" width="8" customWidth="1"/>
    <col min="6" max="6" width="21.5546875" customWidth="1"/>
    <col min="7" max="7" width="16.33203125" customWidth="1"/>
    <col min="8" max="8" width="17.33203125" customWidth="1"/>
    <col min="9" max="9" width="10.33203125" customWidth="1"/>
    <col min="10" max="10" width="6.6640625" customWidth="1"/>
    <col min="11" max="11" width="8.109375" bestFit="1" customWidth="1"/>
  </cols>
  <sheetData>
    <row r="1" spans="2:10" ht="15" customHeight="1" thickBot="1"/>
    <row r="2" spans="2:10" ht="30" customHeight="1">
      <c r="B2" s="137"/>
      <c r="C2" s="64"/>
      <c r="D2" s="121" t="s">
        <v>0</v>
      </c>
      <c r="E2" s="122"/>
      <c r="F2" s="122"/>
      <c r="G2" s="122"/>
      <c r="H2" s="123"/>
      <c r="I2" s="124"/>
    </row>
    <row r="3" spans="2:10" ht="13.65" customHeight="1">
      <c r="B3" s="138"/>
      <c r="C3" s="115"/>
      <c r="D3" s="125"/>
      <c r="E3" s="125"/>
      <c r="F3" s="125"/>
      <c r="G3" s="125"/>
      <c r="H3" s="126"/>
      <c r="I3" s="127"/>
    </row>
    <row r="4" spans="2:10" ht="27.75" customHeight="1">
      <c r="B4" s="138"/>
      <c r="C4" s="115"/>
      <c r="D4" s="125"/>
      <c r="E4" s="125"/>
      <c r="F4" s="125"/>
      <c r="G4" s="125"/>
      <c r="H4" s="126"/>
      <c r="I4" s="127"/>
    </row>
    <row r="5" spans="2:10" ht="21" customHeight="1">
      <c r="B5" s="138"/>
      <c r="C5" s="115"/>
      <c r="D5" s="125"/>
      <c r="E5" s="125"/>
      <c r="F5" s="125"/>
      <c r="G5" s="125"/>
      <c r="H5" s="126"/>
      <c r="I5" s="127"/>
    </row>
    <row r="6" spans="2:10" ht="19.8" customHeight="1">
      <c r="B6" s="138"/>
      <c r="C6" s="115"/>
      <c r="D6" s="91" t="s">
        <v>71</v>
      </c>
      <c r="E6" s="92"/>
      <c r="F6" s="92"/>
      <c r="G6" s="92"/>
      <c r="H6" s="92"/>
      <c r="I6" s="93"/>
    </row>
    <row r="7" spans="2:10" ht="18" customHeight="1">
      <c r="B7" s="139"/>
      <c r="C7" s="116"/>
      <c r="D7" s="128" t="s">
        <v>1</v>
      </c>
      <c r="E7" s="129"/>
      <c r="F7" s="129"/>
      <c r="G7" s="129"/>
      <c r="H7" s="129"/>
      <c r="I7" s="130"/>
    </row>
    <row r="8" spans="2:10" ht="18" customHeight="1">
      <c r="B8" s="69" t="s">
        <v>2</v>
      </c>
      <c r="C8" s="70">
        <v>46141</v>
      </c>
      <c r="D8" s="131"/>
      <c r="E8" s="132"/>
      <c r="F8" s="132"/>
      <c r="G8" s="132"/>
      <c r="H8" s="132"/>
      <c r="I8" s="133"/>
    </row>
    <row r="9" spans="2:10" ht="18.75" customHeight="1">
      <c r="B9" s="69" t="s">
        <v>3</v>
      </c>
      <c r="C9" s="71" t="s">
        <v>92</v>
      </c>
      <c r="D9" s="134"/>
      <c r="E9" s="135"/>
      <c r="F9" s="135"/>
      <c r="G9" s="135"/>
      <c r="H9" s="135"/>
      <c r="I9" s="136"/>
    </row>
    <row r="10" spans="2:10" ht="15.75" customHeight="1">
      <c r="B10" s="119" t="s">
        <v>72</v>
      </c>
      <c r="C10" s="120"/>
      <c r="D10" s="140" t="s">
        <v>4</v>
      </c>
      <c r="E10" s="141"/>
      <c r="F10" s="141"/>
      <c r="G10" s="141"/>
      <c r="H10" s="141"/>
      <c r="I10" s="142"/>
    </row>
    <row r="11" spans="2:10" ht="18" customHeight="1">
      <c r="B11" s="117" t="s">
        <v>93</v>
      </c>
      <c r="C11" s="118"/>
      <c r="D11" s="143"/>
      <c r="E11" s="144"/>
      <c r="F11" s="144"/>
      <c r="G11" s="144"/>
      <c r="H11" s="144"/>
      <c r="I11" s="167"/>
    </row>
    <row r="12" spans="2:10" s="2" customFormat="1" ht="45.75" customHeight="1">
      <c r="B12" s="63" t="s">
        <v>5</v>
      </c>
      <c r="C12" s="65" t="s">
        <v>6</v>
      </c>
      <c r="D12" s="166" t="s">
        <v>7</v>
      </c>
      <c r="E12" s="169" t="s">
        <v>8</v>
      </c>
      <c r="F12" s="169" t="s">
        <v>96</v>
      </c>
      <c r="G12" s="169" t="s">
        <v>9</v>
      </c>
      <c r="H12" s="169" t="s">
        <v>10</v>
      </c>
      <c r="I12" s="169" t="s">
        <v>11</v>
      </c>
    </row>
    <row r="13" spans="2:10" s="2" customFormat="1" ht="43.2">
      <c r="B13" s="80">
        <v>1</v>
      </c>
      <c r="C13" s="66" t="s">
        <v>75</v>
      </c>
      <c r="D13" s="67" t="s">
        <v>76</v>
      </c>
      <c r="E13" s="68">
        <v>1</v>
      </c>
      <c r="F13" s="68" t="s">
        <v>97</v>
      </c>
      <c r="G13" s="170">
        <v>66.127118644067806</v>
      </c>
      <c r="H13" s="170">
        <f>G13*E13</f>
        <v>66.127118644067806</v>
      </c>
      <c r="I13" s="168" t="s">
        <v>73</v>
      </c>
      <c r="J13" s="81"/>
    </row>
    <row r="14" spans="2:10" s="2" customFormat="1" ht="28.8">
      <c r="B14" s="80">
        <v>2</v>
      </c>
      <c r="C14" s="66" t="s">
        <v>77</v>
      </c>
      <c r="D14" s="67" t="s">
        <v>76</v>
      </c>
      <c r="E14" s="68">
        <v>1</v>
      </c>
      <c r="F14" s="68" t="s">
        <v>98</v>
      </c>
      <c r="G14" s="171">
        <v>297.44915254237293</v>
      </c>
      <c r="H14" s="170">
        <f t="shared" ref="H14:H28" si="0">G14*E14</f>
        <v>297.44915254237293</v>
      </c>
      <c r="I14" s="72" t="s">
        <v>73</v>
      </c>
      <c r="J14" s="81"/>
    </row>
    <row r="15" spans="2:10" s="2" customFormat="1" ht="43.2">
      <c r="B15" s="80">
        <v>3</v>
      </c>
      <c r="C15" s="66" t="s">
        <v>78</v>
      </c>
      <c r="D15" s="67" t="s">
        <v>76</v>
      </c>
      <c r="E15" s="68">
        <v>1</v>
      </c>
      <c r="F15" s="68" t="s">
        <v>99</v>
      </c>
      <c r="G15" s="171">
        <v>317.50847457627123</v>
      </c>
      <c r="H15" s="170">
        <f t="shared" si="0"/>
        <v>317.50847457627123</v>
      </c>
      <c r="I15" s="72" t="s">
        <v>73</v>
      </c>
      <c r="J15" s="81"/>
    </row>
    <row r="16" spans="2:10" s="2" customFormat="1" ht="72">
      <c r="B16" s="80">
        <v>4</v>
      </c>
      <c r="C16" s="66" t="s">
        <v>79</v>
      </c>
      <c r="D16" s="67" t="s">
        <v>76</v>
      </c>
      <c r="E16" s="68">
        <v>1</v>
      </c>
      <c r="F16" s="68" t="s">
        <v>100</v>
      </c>
      <c r="G16" s="171">
        <v>103.03389830508475</v>
      </c>
      <c r="H16" s="170">
        <f t="shared" si="0"/>
        <v>103.03389830508475</v>
      </c>
      <c r="I16" s="72" t="s">
        <v>73</v>
      </c>
      <c r="J16" s="81"/>
    </row>
    <row r="17" spans="2:15" s="2" customFormat="1" ht="86.4">
      <c r="B17" s="80">
        <v>5</v>
      </c>
      <c r="C17" s="66" t="s">
        <v>80</v>
      </c>
      <c r="D17" s="67" t="s">
        <v>76</v>
      </c>
      <c r="E17" s="68">
        <v>1</v>
      </c>
      <c r="F17" s="68" t="s">
        <v>101</v>
      </c>
      <c r="G17" s="171">
        <v>124</v>
      </c>
      <c r="H17" s="170">
        <f t="shared" si="0"/>
        <v>124</v>
      </c>
      <c r="I17" s="72" t="s">
        <v>73</v>
      </c>
      <c r="J17" s="81"/>
    </row>
    <row r="18" spans="2:15" s="2" customFormat="1" ht="57.6">
      <c r="B18" s="80">
        <v>6</v>
      </c>
      <c r="C18" s="66" t="s">
        <v>81</v>
      </c>
      <c r="D18" s="67" t="s">
        <v>76</v>
      </c>
      <c r="E18" s="68">
        <v>2</v>
      </c>
      <c r="F18" s="68" t="s">
        <v>102</v>
      </c>
      <c r="G18" s="171">
        <v>47.00847457627119</v>
      </c>
      <c r="H18" s="170">
        <f t="shared" si="0"/>
        <v>94.016949152542381</v>
      </c>
      <c r="I18" s="72" t="s">
        <v>73</v>
      </c>
      <c r="J18" s="81"/>
    </row>
    <row r="19" spans="2:15" s="2" customFormat="1" ht="86.4">
      <c r="B19" s="80">
        <v>7</v>
      </c>
      <c r="C19" s="66" t="s">
        <v>82</v>
      </c>
      <c r="D19" s="67" t="s">
        <v>76</v>
      </c>
      <c r="E19" s="68">
        <v>3</v>
      </c>
      <c r="F19" s="68" t="s">
        <v>103</v>
      </c>
      <c r="G19" s="171">
        <v>69.262711864406782</v>
      </c>
      <c r="H19" s="170">
        <f t="shared" si="0"/>
        <v>207.78813559322035</v>
      </c>
      <c r="I19" s="72" t="s">
        <v>73</v>
      </c>
      <c r="J19" s="81"/>
    </row>
    <row r="20" spans="2:15" s="2" customFormat="1" ht="28.8">
      <c r="B20" s="80">
        <v>8</v>
      </c>
      <c r="C20" s="66" t="s">
        <v>83</v>
      </c>
      <c r="D20" s="67" t="s">
        <v>76</v>
      </c>
      <c r="E20" s="68">
        <v>35</v>
      </c>
      <c r="F20" s="68" t="s">
        <v>104</v>
      </c>
      <c r="G20" s="171">
        <v>0.10169491525423729</v>
      </c>
      <c r="H20" s="170">
        <f t="shared" si="0"/>
        <v>3.5593220338983054</v>
      </c>
      <c r="I20" s="72" t="s">
        <v>73</v>
      </c>
      <c r="J20" s="81"/>
    </row>
    <row r="21" spans="2:15" s="2" customFormat="1" ht="28.8">
      <c r="B21" s="80">
        <v>9</v>
      </c>
      <c r="C21" s="66" t="s">
        <v>84</v>
      </c>
      <c r="D21" s="67" t="s">
        <v>76</v>
      </c>
      <c r="E21" s="68">
        <v>2</v>
      </c>
      <c r="F21" s="68" t="s">
        <v>105</v>
      </c>
      <c r="G21" s="171">
        <v>0.57627118644067798</v>
      </c>
      <c r="H21" s="170">
        <f t="shared" si="0"/>
        <v>1.152542372881356</v>
      </c>
      <c r="I21" s="72" t="s">
        <v>73</v>
      </c>
      <c r="J21" s="81"/>
    </row>
    <row r="22" spans="2:15" s="2" customFormat="1" ht="28.8">
      <c r="B22" s="80">
        <v>10</v>
      </c>
      <c r="C22" s="66" t="s">
        <v>85</v>
      </c>
      <c r="D22" s="67" t="s">
        <v>76</v>
      </c>
      <c r="E22" s="68">
        <v>3</v>
      </c>
      <c r="F22" s="68" t="s">
        <v>106</v>
      </c>
      <c r="G22" s="171">
        <v>0.76271186440677974</v>
      </c>
      <c r="H22" s="170">
        <f t="shared" si="0"/>
        <v>2.2881355932203391</v>
      </c>
      <c r="I22" s="72" t="s">
        <v>73</v>
      </c>
      <c r="J22" s="81"/>
      <c r="K22" s="81" t="s">
        <v>94</v>
      </c>
    </row>
    <row r="23" spans="2:15" s="2" customFormat="1" ht="57.6">
      <c r="B23" s="80">
        <v>11</v>
      </c>
      <c r="C23" s="66" t="s">
        <v>86</v>
      </c>
      <c r="D23" s="67" t="s">
        <v>76</v>
      </c>
      <c r="E23" s="68">
        <v>2</v>
      </c>
      <c r="F23" s="68" t="s">
        <v>107</v>
      </c>
      <c r="G23" s="171">
        <v>17.508474576271187</v>
      </c>
      <c r="H23" s="170">
        <f t="shared" si="0"/>
        <v>35.016949152542374</v>
      </c>
      <c r="I23" s="72" t="s">
        <v>73</v>
      </c>
      <c r="J23" s="81"/>
    </row>
    <row r="24" spans="2:15" s="2" customFormat="1" ht="86.4">
      <c r="B24" s="80">
        <v>12</v>
      </c>
      <c r="C24" s="66" t="s">
        <v>87</v>
      </c>
      <c r="D24" s="67" t="s">
        <v>76</v>
      </c>
      <c r="E24" s="68">
        <v>1</v>
      </c>
      <c r="F24" s="68" t="s">
        <v>108</v>
      </c>
      <c r="G24" s="171">
        <v>64.601694915254242</v>
      </c>
      <c r="H24" s="170">
        <f t="shared" si="0"/>
        <v>64.601694915254242</v>
      </c>
      <c r="I24" s="72" t="s">
        <v>73</v>
      </c>
      <c r="J24" s="81"/>
    </row>
    <row r="25" spans="2:15" s="2" customFormat="1" ht="57.6">
      <c r="B25" s="80">
        <v>13</v>
      </c>
      <c r="C25" s="66" t="s">
        <v>88</v>
      </c>
      <c r="D25" s="67" t="s">
        <v>76</v>
      </c>
      <c r="E25" s="68">
        <v>2</v>
      </c>
      <c r="F25" s="68" t="s">
        <v>109</v>
      </c>
      <c r="G25" s="171">
        <v>37.220338983050851</v>
      </c>
      <c r="H25" s="170">
        <f t="shared" si="0"/>
        <v>74.440677966101703</v>
      </c>
      <c r="I25" s="72" t="s">
        <v>73</v>
      </c>
      <c r="J25" s="81"/>
    </row>
    <row r="26" spans="2:15" s="2" customFormat="1" ht="28.8">
      <c r="B26" s="80">
        <v>14</v>
      </c>
      <c r="C26" s="66" t="s">
        <v>89</v>
      </c>
      <c r="D26" s="67" t="s">
        <v>76</v>
      </c>
      <c r="E26" s="68">
        <v>6</v>
      </c>
      <c r="F26" s="68" t="s">
        <v>110</v>
      </c>
      <c r="G26" s="171">
        <v>1.152542372881356</v>
      </c>
      <c r="H26" s="170">
        <f t="shared" si="0"/>
        <v>6.9152542372881358</v>
      </c>
      <c r="I26" s="72" t="s">
        <v>73</v>
      </c>
      <c r="J26" s="81"/>
    </row>
    <row r="27" spans="2:15" s="2" customFormat="1" ht="28.8">
      <c r="B27" s="80">
        <v>15</v>
      </c>
      <c r="C27" s="66" t="s">
        <v>90</v>
      </c>
      <c r="D27" s="67" t="s">
        <v>76</v>
      </c>
      <c r="E27" s="68">
        <v>6</v>
      </c>
      <c r="F27" s="68" t="s">
        <v>111</v>
      </c>
      <c r="G27" s="171">
        <v>0.2711864406779661</v>
      </c>
      <c r="H27" s="170">
        <f t="shared" si="0"/>
        <v>1.6271186440677967</v>
      </c>
      <c r="I27" s="72" t="s">
        <v>73</v>
      </c>
      <c r="J27" s="81"/>
    </row>
    <row r="28" spans="2:15" s="2" customFormat="1" ht="28.8">
      <c r="B28" s="80">
        <v>16</v>
      </c>
      <c r="C28" s="66" t="s">
        <v>91</v>
      </c>
      <c r="D28" s="67" t="s">
        <v>76</v>
      </c>
      <c r="E28" s="68">
        <v>1</v>
      </c>
      <c r="F28" s="68" t="s">
        <v>112</v>
      </c>
      <c r="G28" s="171">
        <v>8.9067796610169498</v>
      </c>
      <c r="H28" s="170">
        <f t="shared" si="0"/>
        <v>8.9067796610169498</v>
      </c>
      <c r="I28" s="72" t="s">
        <v>73</v>
      </c>
      <c r="J28" s="81"/>
    </row>
    <row r="29" spans="2:15" s="2" customFormat="1" ht="21.75" customHeight="1">
      <c r="B29" s="79"/>
      <c r="C29" s="73"/>
      <c r="D29" s="74"/>
      <c r="E29" s="75"/>
      <c r="F29" s="162"/>
      <c r="G29" s="172" t="s">
        <v>12</v>
      </c>
      <c r="H29" s="173">
        <f>SUM(H13:H28)</f>
        <v>1408.4322033898306</v>
      </c>
      <c r="I29" s="174"/>
      <c r="O29" s="62"/>
    </row>
    <row r="30" spans="2:15" s="62" customFormat="1" ht="9.75" customHeight="1">
      <c r="B30" s="158"/>
      <c r="C30" s="92"/>
      <c r="D30" s="92"/>
      <c r="E30" s="92"/>
      <c r="F30" s="92"/>
      <c r="G30" s="92"/>
      <c r="H30" s="92"/>
      <c r="I30" s="93"/>
      <c r="O30" s="2"/>
    </row>
    <row r="31" spans="2:15" s="2" customFormat="1" ht="15.75" customHeight="1">
      <c r="B31" s="154" t="s">
        <v>13</v>
      </c>
      <c r="C31" s="155"/>
      <c r="D31" s="147" t="s">
        <v>14</v>
      </c>
      <c r="E31" s="147"/>
      <c r="F31" s="83"/>
      <c r="G31" s="147" t="s">
        <v>15</v>
      </c>
      <c r="H31" s="149"/>
      <c r="I31" s="150"/>
    </row>
    <row r="32" spans="2:15" s="2" customFormat="1" ht="21" customHeight="1">
      <c r="B32" s="156" t="s">
        <v>16</v>
      </c>
      <c r="C32" s="157"/>
      <c r="D32" s="148"/>
      <c r="E32" s="148"/>
      <c r="F32" s="84"/>
      <c r="G32" s="151" t="s">
        <v>74</v>
      </c>
      <c r="H32" s="152"/>
      <c r="I32" s="153"/>
    </row>
    <row r="33" spans="2:9" s="2" customFormat="1" ht="21" customHeight="1">
      <c r="B33" s="156" t="s">
        <v>17</v>
      </c>
      <c r="C33" s="157"/>
      <c r="D33" s="148"/>
      <c r="E33" s="148"/>
      <c r="F33" s="163"/>
      <c r="G33" s="159" t="s">
        <v>18</v>
      </c>
      <c r="H33" s="160"/>
      <c r="I33" s="161"/>
    </row>
    <row r="34" spans="2:9" ht="14.25" customHeight="1">
      <c r="B34" s="94"/>
      <c r="C34" s="102" t="s">
        <v>19</v>
      </c>
      <c r="D34" s="102"/>
      <c r="E34" s="102"/>
      <c r="F34" s="102"/>
      <c r="G34" s="102"/>
      <c r="H34" s="102"/>
      <c r="I34" s="103"/>
    </row>
    <row r="35" spans="2:9" ht="14.25" customHeight="1">
      <c r="B35" s="95"/>
      <c r="C35" s="76" t="s">
        <v>20</v>
      </c>
      <c r="D35" s="86"/>
      <c r="E35" s="104"/>
      <c r="F35" s="85"/>
      <c r="G35" s="99" t="s">
        <v>21</v>
      </c>
      <c r="H35" s="100"/>
      <c r="I35" s="101"/>
    </row>
    <row r="36" spans="2:9" ht="14.25" customHeight="1">
      <c r="B36" s="95"/>
      <c r="C36" s="102" t="s">
        <v>22</v>
      </c>
      <c r="D36" s="102"/>
      <c r="E36" s="102"/>
      <c r="F36" s="102"/>
      <c r="G36" s="102"/>
      <c r="H36" s="102"/>
      <c r="I36" s="103"/>
    </row>
    <row r="37" spans="2:9" ht="14.25" customHeight="1">
      <c r="B37" s="95"/>
      <c r="C37" s="76" t="s">
        <v>95</v>
      </c>
      <c r="D37" s="97" t="s">
        <v>23</v>
      </c>
      <c r="E37" s="98"/>
      <c r="F37" s="82"/>
      <c r="G37" s="99"/>
      <c r="H37" s="100"/>
      <c r="I37" s="101"/>
    </row>
    <row r="38" spans="2:9" ht="14.25" customHeight="1">
      <c r="B38" s="95"/>
      <c r="C38" s="89" t="s">
        <v>24</v>
      </c>
      <c r="D38" s="89"/>
      <c r="E38" s="89"/>
      <c r="F38" s="89"/>
      <c r="G38" s="89"/>
      <c r="H38" s="89"/>
      <c r="I38" s="90"/>
    </row>
    <row r="39" spans="2:9" ht="14.25" customHeight="1">
      <c r="B39" s="95"/>
      <c r="C39" s="76" t="s">
        <v>25</v>
      </c>
      <c r="D39" s="97"/>
      <c r="E39" s="98"/>
      <c r="F39" s="82"/>
      <c r="G39" s="97"/>
      <c r="H39" s="145"/>
      <c r="I39" s="146"/>
    </row>
    <row r="40" spans="2:9" ht="24">
      <c r="B40" s="95"/>
      <c r="C40" s="77" t="s">
        <v>26</v>
      </c>
      <c r="D40" s="97"/>
      <c r="E40" s="98"/>
      <c r="F40" s="82"/>
      <c r="G40" s="86"/>
      <c r="H40" s="87"/>
      <c r="I40" s="88"/>
    </row>
    <row r="41" spans="2:9" ht="14.25" customHeight="1">
      <c r="B41" s="95"/>
      <c r="C41" s="89" t="s">
        <v>27</v>
      </c>
      <c r="D41" s="89"/>
      <c r="E41" s="89"/>
      <c r="F41" s="89"/>
      <c r="G41" s="89"/>
      <c r="H41" s="89"/>
      <c r="I41" s="90"/>
    </row>
    <row r="42" spans="2:9" ht="14.25" customHeight="1">
      <c r="B42" s="95"/>
      <c r="C42" s="76" t="s">
        <v>28</v>
      </c>
      <c r="D42" s="105"/>
      <c r="E42" s="106"/>
      <c r="F42" s="164"/>
      <c r="G42" s="107" t="s">
        <v>29</v>
      </c>
      <c r="H42" s="108"/>
      <c r="I42" s="109"/>
    </row>
    <row r="43" spans="2:9" ht="15" thickBot="1">
      <c r="B43" s="96"/>
      <c r="C43" s="78" t="s">
        <v>30</v>
      </c>
      <c r="D43" s="110"/>
      <c r="E43" s="111"/>
      <c r="F43" s="165"/>
      <c r="G43" s="112"/>
      <c r="H43" s="113"/>
      <c r="I43" s="114"/>
    </row>
  </sheetData>
  <mergeCells count="35">
    <mergeCell ref="G39:I39"/>
    <mergeCell ref="C36:I36"/>
    <mergeCell ref="D31:E31"/>
    <mergeCell ref="D32:E32"/>
    <mergeCell ref="G31:I31"/>
    <mergeCell ref="G32:I32"/>
    <mergeCell ref="B31:C31"/>
    <mergeCell ref="B32:C32"/>
    <mergeCell ref="B33:C33"/>
    <mergeCell ref="B30:I30"/>
    <mergeCell ref="D33:E33"/>
    <mergeCell ref="G33:I33"/>
    <mergeCell ref="C3:C7"/>
    <mergeCell ref="B11:C11"/>
    <mergeCell ref="B10:C10"/>
    <mergeCell ref="D2:I5"/>
    <mergeCell ref="D7:I9"/>
    <mergeCell ref="B2:B7"/>
    <mergeCell ref="D10:I11"/>
    <mergeCell ref="G40:I40"/>
    <mergeCell ref="C41:I41"/>
    <mergeCell ref="D6:I6"/>
    <mergeCell ref="B34:B43"/>
    <mergeCell ref="D37:E37"/>
    <mergeCell ref="G37:I37"/>
    <mergeCell ref="C38:I38"/>
    <mergeCell ref="C34:I34"/>
    <mergeCell ref="D35:E35"/>
    <mergeCell ref="G35:I35"/>
    <mergeCell ref="D42:E42"/>
    <mergeCell ref="G42:I42"/>
    <mergeCell ref="D43:E43"/>
    <mergeCell ref="G43:I43"/>
    <mergeCell ref="D39:E39"/>
    <mergeCell ref="D40:E40"/>
  </mergeCells>
  <phoneticPr fontId="0" type="noConversion"/>
  <pageMargins left="0.24996873900646302" right="0.24996873900646302" top="0" bottom="0" header="0.29996251027415122" footer="0.29996251027415122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zoomScaleNormal="100" workbookViewId="0">
      <selection activeCell="J18" sqref="J18"/>
    </sheetView>
  </sheetViews>
  <sheetFormatPr defaultColWidth="9" defaultRowHeight="14.4"/>
  <cols>
    <col min="3" max="3" width="62.33203125" customWidth="1"/>
    <col min="4" max="4" width="9.6640625" customWidth="1"/>
    <col min="5" max="6" width="0" hidden="1" customWidth="1"/>
    <col min="8" max="9" width="0" hidden="1" customWidth="1"/>
  </cols>
  <sheetData>
    <row r="1" spans="1:10" ht="14.25" customHeight="1">
      <c r="A1" s="4" t="s">
        <v>31</v>
      </c>
      <c r="B1" s="4"/>
      <c r="C1" s="5"/>
      <c r="D1" s="4" t="s">
        <v>32</v>
      </c>
      <c r="E1" s="4" t="s">
        <v>33</v>
      </c>
      <c r="F1" s="4" t="s">
        <v>34</v>
      </c>
      <c r="G1" s="4" t="s">
        <v>8</v>
      </c>
      <c r="H1" s="4" t="s">
        <v>35</v>
      </c>
      <c r="I1" s="4" t="s">
        <v>36</v>
      </c>
      <c r="J1" s="4" t="s">
        <v>37</v>
      </c>
    </row>
    <row r="2" spans="1:10" s="3" customFormat="1">
      <c r="A2" s="41"/>
      <c r="B2" s="42"/>
      <c r="C2" s="43" t="s">
        <v>38</v>
      </c>
      <c r="D2" s="42"/>
      <c r="E2" s="42"/>
      <c r="F2" s="42"/>
      <c r="G2" s="42"/>
      <c r="H2" s="44"/>
      <c r="I2" s="45"/>
      <c r="J2" s="46">
        <v>1478.5228500000001</v>
      </c>
    </row>
    <row r="3" spans="1:10" ht="14.25" customHeight="1">
      <c r="A3" s="12" t="s">
        <v>39</v>
      </c>
      <c r="B3" s="13" t="s">
        <v>40</v>
      </c>
      <c r="C3" s="14" t="s">
        <v>41</v>
      </c>
      <c r="D3" s="13" t="s">
        <v>42</v>
      </c>
      <c r="E3" s="13">
        <v>1.89</v>
      </c>
      <c r="F3" s="13">
        <v>2</v>
      </c>
      <c r="G3" s="13">
        <v>1</v>
      </c>
      <c r="H3" s="15">
        <f>E3*F3*G3</f>
        <v>3.78</v>
      </c>
      <c r="I3" s="16">
        <v>8.5</v>
      </c>
      <c r="J3" s="17">
        <f>I3*H3</f>
        <v>32.129999999999995</v>
      </c>
    </row>
    <row r="4" spans="1:10" s="55" customFormat="1" ht="14.25" customHeight="1">
      <c r="A4" s="49" t="s">
        <v>43</v>
      </c>
      <c r="B4" s="50" t="s">
        <v>40</v>
      </c>
      <c r="C4" s="51" t="s">
        <v>44</v>
      </c>
      <c r="D4" s="50" t="s">
        <v>45</v>
      </c>
      <c r="E4" s="50">
        <v>0.85</v>
      </c>
      <c r="F4" s="50">
        <v>2</v>
      </c>
      <c r="G4" s="50">
        <v>1</v>
      </c>
      <c r="H4" s="52">
        <f>E4*F4*G4</f>
        <v>1.7</v>
      </c>
      <c r="I4" s="53">
        <v>10</v>
      </c>
      <c r="J4" s="54">
        <f>I4*H4+3+(J9/G9)</f>
        <v>21.912500000000001</v>
      </c>
    </row>
    <row r="5" spans="1:10" s="55" customFormat="1" ht="14.25" customHeight="1">
      <c r="A5" s="49" t="s">
        <v>43</v>
      </c>
      <c r="B5" s="50" t="s">
        <v>40</v>
      </c>
      <c r="C5" s="51" t="s">
        <v>46</v>
      </c>
      <c r="D5" s="50" t="s">
        <v>45</v>
      </c>
      <c r="E5" s="50">
        <v>0.85</v>
      </c>
      <c r="F5" s="50">
        <v>2</v>
      </c>
      <c r="G5" s="50">
        <v>1</v>
      </c>
      <c r="H5" s="52">
        <f>E5*F5*G5</f>
        <v>1.7</v>
      </c>
      <c r="I5" s="53">
        <v>10</v>
      </c>
      <c r="J5" s="54">
        <f>I5*H5+3+(J9/G9)</f>
        <v>21.912500000000001</v>
      </c>
    </row>
    <row r="6" spans="1:10" s="55" customFormat="1" ht="14.25" customHeight="1">
      <c r="A6" s="49" t="s">
        <v>43</v>
      </c>
      <c r="B6" s="50" t="s">
        <v>40</v>
      </c>
      <c r="C6" s="51" t="s">
        <v>47</v>
      </c>
      <c r="D6" s="50" t="s">
        <v>45</v>
      </c>
      <c r="E6" s="50">
        <v>0.85</v>
      </c>
      <c r="F6" s="50">
        <v>2</v>
      </c>
      <c r="G6" s="50">
        <v>1</v>
      </c>
      <c r="H6" s="52">
        <f>E6*F6*G6</f>
        <v>1.7</v>
      </c>
      <c r="I6" s="53">
        <v>10</v>
      </c>
      <c r="J6" s="54">
        <f>I6*H6+3+(J9/G9)</f>
        <v>21.912500000000001</v>
      </c>
    </row>
    <row r="7" spans="1:10" s="27" customFormat="1" ht="14.25" customHeight="1">
      <c r="A7" s="47" t="s">
        <v>43</v>
      </c>
      <c r="B7" s="28" t="s">
        <v>40</v>
      </c>
      <c r="C7" s="29" t="s">
        <v>48</v>
      </c>
      <c r="D7" s="28" t="s">
        <v>45</v>
      </c>
      <c r="E7" s="28">
        <v>0.85</v>
      </c>
      <c r="F7" s="28">
        <v>2</v>
      </c>
      <c r="G7" s="28">
        <v>1</v>
      </c>
      <c r="H7" s="30"/>
      <c r="I7" s="31">
        <v>55</v>
      </c>
      <c r="J7" s="32">
        <f>58+(J9/G9)</f>
        <v>59.912500000000001</v>
      </c>
    </row>
    <row r="8" spans="1:10" s="55" customFormat="1">
      <c r="A8" s="56" t="s">
        <v>43</v>
      </c>
      <c r="B8" s="57" t="s">
        <v>40</v>
      </c>
      <c r="C8" s="58" t="s">
        <v>49</v>
      </c>
      <c r="D8" s="57" t="s">
        <v>45</v>
      </c>
      <c r="E8" s="57">
        <v>0.85</v>
      </c>
      <c r="F8" s="57">
        <v>2</v>
      </c>
      <c r="G8" s="57">
        <v>1</v>
      </c>
      <c r="H8" s="59"/>
      <c r="I8" s="60">
        <v>55</v>
      </c>
      <c r="J8" s="61">
        <f>58+(J9/G9)</f>
        <v>59.912500000000001</v>
      </c>
    </row>
    <row r="9" spans="1:10" s="27" customFormat="1" hidden="1">
      <c r="A9" s="33" t="s">
        <v>50</v>
      </c>
      <c r="B9" s="34" t="s">
        <v>40</v>
      </c>
      <c r="C9" s="35" t="s">
        <v>51</v>
      </c>
      <c r="D9" s="34" t="s">
        <v>52</v>
      </c>
      <c r="E9" s="34">
        <v>0.3</v>
      </c>
      <c r="F9" s="34">
        <v>0.85</v>
      </c>
      <c r="G9" s="34">
        <v>5</v>
      </c>
      <c r="H9" s="36">
        <f t="shared" ref="H9:H14" si="0">E9*F9*G9</f>
        <v>1.2749999999999999</v>
      </c>
      <c r="I9" s="37">
        <v>7.5</v>
      </c>
      <c r="J9" s="38">
        <f>I9*H9</f>
        <v>9.5625</v>
      </c>
    </row>
    <row r="10" spans="1:10" ht="15" customHeight="1">
      <c r="A10" s="6" t="s">
        <v>53</v>
      </c>
      <c r="B10" s="7" t="s">
        <v>40</v>
      </c>
      <c r="C10" s="8" t="s">
        <v>54</v>
      </c>
      <c r="D10" s="7" t="s">
        <v>52</v>
      </c>
      <c r="E10" s="7">
        <v>0.25</v>
      </c>
      <c r="F10" s="7">
        <v>0.12</v>
      </c>
      <c r="G10" s="7">
        <v>2</v>
      </c>
      <c r="H10" s="39">
        <f t="shared" si="0"/>
        <v>0.06</v>
      </c>
      <c r="I10" s="10">
        <v>7.5</v>
      </c>
      <c r="J10" s="11">
        <f>I10*H10</f>
        <v>0.44999999999999996</v>
      </c>
    </row>
    <row r="11" spans="1:10">
      <c r="A11" s="6" t="s">
        <v>53</v>
      </c>
      <c r="B11" s="7" t="s">
        <v>40</v>
      </c>
      <c r="C11" s="8" t="s">
        <v>55</v>
      </c>
      <c r="D11" s="7" t="s">
        <v>52</v>
      </c>
      <c r="E11" s="7">
        <v>0.57999999999999996</v>
      </c>
      <c r="F11" s="7">
        <v>0.41</v>
      </c>
      <c r="G11" s="7">
        <v>11</v>
      </c>
      <c r="H11" s="9">
        <f t="shared" si="0"/>
        <v>2.6157999999999997</v>
      </c>
      <c r="I11" s="10">
        <v>54</v>
      </c>
      <c r="J11" s="11">
        <f>I11*H11</f>
        <v>141.25319999999999</v>
      </c>
    </row>
    <row r="12" spans="1:10">
      <c r="A12" s="6" t="s">
        <v>56</v>
      </c>
      <c r="B12" s="7" t="s">
        <v>40</v>
      </c>
      <c r="C12" s="8" t="s">
        <v>57</v>
      </c>
      <c r="D12" s="7" t="s">
        <v>52</v>
      </c>
      <c r="E12" s="7">
        <v>0.6</v>
      </c>
      <c r="F12" s="7">
        <v>0.82</v>
      </c>
      <c r="G12" s="7">
        <v>40</v>
      </c>
      <c r="H12" s="9">
        <f t="shared" si="0"/>
        <v>19.679999999999996</v>
      </c>
      <c r="I12" s="10">
        <v>54</v>
      </c>
      <c r="J12" s="11">
        <f>I12*H12</f>
        <v>1062.7199999999998</v>
      </c>
    </row>
    <row r="13" spans="1:10" s="27" customFormat="1" ht="14.25" customHeight="1">
      <c r="A13" s="22" t="s">
        <v>56</v>
      </c>
      <c r="B13" s="23" t="s">
        <v>40</v>
      </c>
      <c r="C13" s="24" t="s">
        <v>58</v>
      </c>
      <c r="D13" s="23"/>
      <c r="E13" s="23">
        <v>0.56999999999999995</v>
      </c>
      <c r="F13" s="23">
        <v>0.82</v>
      </c>
      <c r="G13" s="23">
        <v>1</v>
      </c>
      <c r="H13" s="25">
        <f t="shared" si="0"/>
        <v>0.46739999999999993</v>
      </c>
      <c r="I13" s="40">
        <v>54</v>
      </c>
      <c r="J13" s="26">
        <f>I13*H13</f>
        <v>25.239599999999996</v>
      </c>
    </row>
    <row r="14" spans="1:10" s="27" customFormat="1">
      <c r="A14" s="33" t="s">
        <v>56</v>
      </c>
      <c r="B14" s="34" t="s">
        <v>40</v>
      </c>
      <c r="C14" s="35" t="s">
        <v>59</v>
      </c>
      <c r="D14" s="34"/>
      <c r="E14" s="34"/>
      <c r="F14" s="34"/>
      <c r="G14" s="34"/>
      <c r="H14" s="36">
        <f t="shared" si="0"/>
        <v>0</v>
      </c>
      <c r="I14" s="37"/>
      <c r="J14" s="38">
        <v>30</v>
      </c>
    </row>
    <row r="15" spans="1:10" ht="15" customHeight="1">
      <c r="A15" s="18" t="s">
        <v>60</v>
      </c>
      <c r="B15" s="7" t="s">
        <v>40</v>
      </c>
      <c r="C15" s="8" t="s">
        <v>61</v>
      </c>
      <c r="D15" s="7" t="s">
        <v>62</v>
      </c>
      <c r="E15" s="7"/>
      <c r="F15" s="7"/>
      <c r="G15" s="7"/>
      <c r="H15" s="9">
        <v>9.6</v>
      </c>
      <c r="I15" s="10">
        <v>15</v>
      </c>
      <c r="J15" s="11">
        <v>145</v>
      </c>
    </row>
    <row r="16" spans="1:10" ht="15" customHeight="1">
      <c r="A16" s="18" t="s">
        <v>56</v>
      </c>
      <c r="B16" s="7" t="s">
        <v>40</v>
      </c>
      <c r="C16" s="8" t="s">
        <v>63</v>
      </c>
      <c r="D16" s="7" t="s">
        <v>64</v>
      </c>
      <c r="E16" s="7"/>
      <c r="F16" s="7"/>
      <c r="G16" s="7">
        <v>30000</v>
      </c>
      <c r="H16" s="9">
        <f>E16*F16*G16</f>
        <v>0</v>
      </c>
      <c r="I16" s="10"/>
      <c r="J16" s="11">
        <v>400</v>
      </c>
    </row>
    <row r="17" spans="1:10" hidden="1">
      <c r="A17" s="19"/>
      <c r="B17" s="19"/>
      <c r="C17" s="20"/>
      <c r="D17" s="19"/>
      <c r="E17" s="19"/>
      <c r="F17" s="19"/>
      <c r="G17" s="19"/>
      <c r="H17" s="19"/>
      <c r="I17" s="19"/>
      <c r="J17" s="21">
        <f>SUM(J2:J16)</f>
        <v>3510.4406499999991</v>
      </c>
    </row>
    <row r="18" spans="1:10" ht="14.25" customHeight="1">
      <c r="J18" s="48">
        <f>J17-J9</f>
        <v>3500.8781499999991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zoomScaleNormal="100" workbookViewId="0">
      <selection activeCell="J18" sqref="J18"/>
    </sheetView>
  </sheetViews>
  <sheetFormatPr defaultColWidth="9" defaultRowHeight="14.4"/>
  <cols>
    <col min="3" max="3" width="42.33203125" customWidth="1"/>
  </cols>
  <sheetData>
    <row r="1" spans="1:10" s="3" customFormat="1">
      <c r="A1" s="41"/>
      <c r="B1" s="42"/>
      <c r="C1" s="43" t="s">
        <v>38</v>
      </c>
      <c r="D1" s="42"/>
      <c r="E1" s="42"/>
      <c r="F1" s="42"/>
      <c r="G1" s="42"/>
      <c r="H1" s="44"/>
      <c r="I1" s="45"/>
      <c r="J1" s="46">
        <v>1478.5228500000001</v>
      </c>
    </row>
    <row r="2" spans="1:10">
      <c r="A2" s="12" t="s">
        <v>39</v>
      </c>
      <c r="B2" s="13" t="s">
        <v>40</v>
      </c>
      <c r="C2" s="14" t="s">
        <v>41</v>
      </c>
      <c r="D2" s="13" t="s">
        <v>42</v>
      </c>
      <c r="E2" s="13">
        <v>1.89</v>
      </c>
      <c r="F2" s="13">
        <v>2</v>
      </c>
      <c r="G2" s="13">
        <v>1</v>
      </c>
      <c r="H2" s="15">
        <f>E2*F2*G2</f>
        <v>3.78</v>
      </c>
      <c r="I2" s="16">
        <v>8.5</v>
      </c>
      <c r="J2" s="17">
        <f>I2*H2</f>
        <v>32.129999999999995</v>
      </c>
    </row>
    <row r="3" spans="1:10" ht="16.2">
      <c r="A3" s="49" t="s">
        <v>43</v>
      </c>
      <c r="B3" s="50" t="s">
        <v>40</v>
      </c>
      <c r="C3" s="51" t="s">
        <v>65</v>
      </c>
      <c r="D3" s="50" t="s">
        <v>45</v>
      </c>
      <c r="E3" s="50">
        <v>0.85</v>
      </c>
      <c r="F3" s="50">
        <v>2</v>
      </c>
      <c r="G3" s="50">
        <v>1</v>
      </c>
      <c r="H3" s="52">
        <f>E3*F3*G3</f>
        <v>1.7</v>
      </c>
      <c r="I3" s="53">
        <v>10</v>
      </c>
      <c r="J3" s="54">
        <f>I3*H3+3+(J8/G8)</f>
        <v>21.912500000000001</v>
      </c>
    </row>
    <row r="4" spans="1:10" ht="16.2">
      <c r="A4" s="49" t="s">
        <v>43</v>
      </c>
      <c r="B4" s="50" t="s">
        <v>40</v>
      </c>
      <c r="C4" s="51" t="s">
        <v>66</v>
      </c>
      <c r="D4" s="50" t="s">
        <v>45</v>
      </c>
      <c r="E4" s="50">
        <v>0.85</v>
      </c>
      <c r="F4" s="50">
        <v>2</v>
      </c>
      <c r="G4" s="50">
        <v>1</v>
      </c>
      <c r="H4" s="52">
        <f>E4*F4*G4</f>
        <v>1.7</v>
      </c>
      <c r="I4" s="53">
        <v>10</v>
      </c>
      <c r="J4" s="54">
        <f>I4*H4+3+(J8/G8)</f>
        <v>21.912500000000001</v>
      </c>
    </row>
    <row r="5" spans="1:10" ht="16.2">
      <c r="A5" s="49" t="s">
        <v>43</v>
      </c>
      <c r="B5" s="50" t="s">
        <v>40</v>
      </c>
      <c r="C5" s="51" t="s">
        <v>67</v>
      </c>
      <c r="D5" s="50" t="s">
        <v>45</v>
      </c>
      <c r="E5" s="50">
        <v>0.85</v>
      </c>
      <c r="F5" s="50">
        <v>2</v>
      </c>
      <c r="G5" s="50">
        <v>1</v>
      </c>
      <c r="H5" s="52">
        <f>E5*F5*G5</f>
        <v>1.7</v>
      </c>
      <c r="I5" s="53">
        <v>10</v>
      </c>
      <c r="J5" s="54">
        <f>I5*H5+3+(J8/G8)</f>
        <v>21.912500000000001</v>
      </c>
    </row>
    <row r="6" spans="1:10">
      <c r="A6" s="47" t="s">
        <v>43</v>
      </c>
      <c r="B6" s="28" t="s">
        <v>40</v>
      </c>
      <c r="C6" s="29" t="s">
        <v>48</v>
      </c>
      <c r="D6" s="28" t="s">
        <v>45</v>
      </c>
      <c r="E6" s="28">
        <v>0.85</v>
      </c>
      <c r="F6" s="28">
        <v>2</v>
      </c>
      <c r="G6" s="28">
        <v>1</v>
      </c>
      <c r="H6" s="30"/>
      <c r="I6" s="31">
        <v>55</v>
      </c>
      <c r="J6" s="32">
        <f>58+(J8/G8)</f>
        <v>59.912500000000001</v>
      </c>
    </row>
    <row r="7" spans="1:10">
      <c r="A7" s="56" t="s">
        <v>43</v>
      </c>
      <c r="B7" s="57" t="s">
        <v>40</v>
      </c>
      <c r="C7" s="58" t="s">
        <v>49</v>
      </c>
      <c r="D7" s="57" t="s">
        <v>45</v>
      </c>
      <c r="E7" s="57">
        <v>0.85</v>
      </c>
      <c r="F7" s="57">
        <v>2</v>
      </c>
      <c r="G7" s="57">
        <v>1</v>
      </c>
      <c r="H7" s="59"/>
      <c r="I7" s="60">
        <v>55</v>
      </c>
      <c r="J7" s="61">
        <f>58+(J8/G8)</f>
        <v>59.912500000000001</v>
      </c>
    </row>
    <row r="8" spans="1:10">
      <c r="A8" s="33" t="s">
        <v>50</v>
      </c>
      <c r="B8" s="34" t="s">
        <v>40</v>
      </c>
      <c r="C8" s="35" t="s">
        <v>51</v>
      </c>
      <c r="D8" s="34" t="s">
        <v>52</v>
      </c>
      <c r="E8" s="34">
        <v>0.3</v>
      </c>
      <c r="F8" s="34">
        <v>0.85</v>
      </c>
      <c r="G8" s="34">
        <v>5</v>
      </c>
      <c r="H8" s="36">
        <f t="shared" ref="H8:H13" si="0">E8*F8*G8</f>
        <v>1.2749999999999999</v>
      </c>
      <c r="I8" s="37">
        <v>7.5</v>
      </c>
      <c r="J8" s="38">
        <f>I8*H8</f>
        <v>9.5625</v>
      </c>
    </row>
    <row r="9" spans="1:10">
      <c r="A9" s="6" t="s">
        <v>53</v>
      </c>
      <c r="B9" s="7" t="s">
        <v>40</v>
      </c>
      <c r="C9" s="8" t="s">
        <v>54</v>
      </c>
      <c r="D9" s="7" t="s">
        <v>52</v>
      </c>
      <c r="E9" s="7">
        <v>0.25</v>
      </c>
      <c r="F9" s="7">
        <v>0.12</v>
      </c>
      <c r="G9" s="7">
        <v>2</v>
      </c>
      <c r="H9" s="39">
        <f t="shared" si="0"/>
        <v>0.06</v>
      </c>
      <c r="I9" s="10">
        <v>7.5</v>
      </c>
      <c r="J9" s="11">
        <f>I9*H9</f>
        <v>0.44999999999999996</v>
      </c>
    </row>
    <row r="10" spans="1:10">
      <c r="A10" s="6" t="s">
        <v>53</v>
      </c>
      <c r="B10" s="7" t="s">
        <v>40</v>
      </c>
      <c r="C10" s="8" t="s">
        <v>55</v>
      </c>
      <c r="D10" s="7" t="s">
        <v>52</v>
      </c>
      <c r="E10" s="7">
        <v>0.57999999999999996</v>
      </c>
      <c r="F10" s="7">
        <v>0.41</v>
      </c>
      <c r="G10" s="7">
        <v>11</v>
      </c>
      <c r="H10" s="9">
        <f t="shared" si="0"/>
        <v>2.6157999999999997</v>
      </c>
      <c r="I10" s="10">
        <v>54</v>
      </c>
      <c r="J10" s="11">
        <f>I10*H10</f>
        <v>141.25319999999999</v>
      </c>
    </row>
    <row r="11" spans="1:10">
      <c r="A11" s="6" t="s">
        <v>56</v>
      </c>
      <c r="B11" s="7" t="s">
        <v>40</v>
      </c>
      <c r="C11" s="8" t="s">
        <v>57</v>
      </c>
      <c r="D11" s="7" t="s">
        <v>52</v>
      </c>
      <c r="E11" s="7">
        <v>0.6</v>
      </c>
      <c r="F11" s="7">
        <v>0.82</v>
      </c>
      <c r="G11" s="7">
        <v>40</v>
      </c>
      <c r="H11" s="9">
        <f t="shared" si="0"/>
        <v>19.679999999999996</v>
      </c>
      <c r="I11" s="10">
        <v>54</v>
      </c>
      <c r="J11" s="11">
        <f>I11*H11</f>
        <v>1062.7199999999998</v>
      </c>
    </row>
    <row r="12" spans="1:10">
      <c r="A12" s="22" t="s">
        <v>56</v>
      </c>
      <c r="B12" s="23" t="s">
        <v>40</v>
      </c>
      <c r="C12" s="24" t="s">
        <v>58</v>
      </c>
      <c r="D12" s="23"/>
      <c r="E12" s="23">
        <v>0.56999999999999995</v>
      </c>
      <c r="F12" s="23">
        <v>0.82</v>
      </c>
      <c r="G12" s="23">
        <v>1</v>
      </c>
      <c r="H12" s="25">
        <f t="shared" si="0"/>
        <v>0.46739999999999993</v>
      </c>
      <c r="I12" s="40">
        <v>54</v>
      </c>
      <c r="J12" s="26">
        <f>I12*H12</f>
        <v>25.239599999999996</v>
      </c>
    </row>
    <row r="13" spans="1:10">
      <c r="A13" s="33" t="s">
        <v>56</v>
      </c>
      <c r="B13" s="34" t="s">
        <v>40</v>
      </c>
      <c r="C13" s="35" t="s">
        <v>59</v>
      </c>
      <c r="D13" s="34"/>
      <c r="E13" s="34"/>
      <c r="F13" s="34"/>
      <c r="G13" s="34"/>
      <c r="H13" s="36">
        <f t="shared" si="0"/>
        <v>0</v>
      </c>
      <c r="I13" s="37"/>
      <c r="J13" s="38">
        <v>30</v>
      </c>
    </row>
    <row r="14" spans="1:10">
      <c r="A14" s="18" t="s">
        <v>60</v>
      </c>
      <c r="B14" s="7" t="s">
        <v>40</v>
      </c>
      <c r="C14" s="8" t="s">
        <v>61</v>
      </c>
      <c r="D14" s="7" t="s">
        <v>62</v>
      </c>
      <c r="E14" s="7"/>
      <c r="F14" s="7"/>
      <c r="G14" s="7"/>
      <c r="H14" s="9">
        <v>9.6</v>
      </c>
      <c r="I14" s="10">
        <v>15</v>
      </c>
      <c r="J14" s="11">
        <v>145</v>
      </c>
    </row>
    <row r="15" spans="1:10">
      <c r="A15" s="18" t="s">
        <v>56</v>
      </c>
      <c r="B15" s="7" t="s">
        <v>40</v>
      </c>
      <c r="C15" s="8" t="s">
        <v>63</v>
      </c>
      <c r="D15" s="7" t="s">
        <v>64</v>
      </c>
      <c r="E15" s="7"/>
      <c r="F15" s="7"/>
      <c r="G15" s="7">
        <v>30000</v>
      </c>
      <c r="H15" s="9">
        <f>E15*F15*G15</f>
        <v>0</v>
      </c>
      <c r="I15" s="10"/>
      <c r="J15" s="11">
        <v>400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"/>
  <sheetViews>
    <sheetView zoomScaleNormal="100" workbookViewId="0">
      <selection sqref="A1:XFD15"/>
    </sheetView>
  </sheetViews>
  <sheetFormatPr defaultColWidth="9" defaultRowHeight="14.4"/>
  <cols>
    <col min="1" max="1" width="10.109375" customWidth="1"/>
    <col min="2" max="2" width="4.88671875" customWidth="1"/>
    <col min="3" max="3" width="42.33203125" customWidth="1"/>
    <col min="4" max="4" width="9.6640625" customWidth="1"/>
    <col min="5" max="6" width="5" customWidth="1"/>
    <col min="7" max="7" width="6" customWidth="1"/>
    <col min="8" max="8" width="7" customWidth="1"/>
    <col min="9" max="9" width="4.6640625" customWidth="1"/>
    <col min="10" max="10" width="11" customWidth="1"/>
  </cols>
  <sheetData>
    <row r="1" spans="1:10">
      <c r="C1" s="1" t="s">
        <v>38</v>
      </c>
      <c r="J1" s="1">
        <v>1478.5228500000001</v>
      </c>
    </row>
    <row r="2" spans="1:10">
      <c r="A2" s="1" t="s">
        <v>39</v>
      </c>
      <c r="B2" s="1" t="s">
        <v>40</v>
      </c>
      <c r="C2" s="1" t="s">
        <v>41</v>
      </c>
      <c r="D2" s="1" t="s">
        <v>42</v>
      </c>
      <c r="E2" s="1">
        <v>1.89</v>
      </c>
      <c r="F2" s="1">
        <v>2</v>
      </c>
      <c r="G2" s="1">
        <v>1</v>
      </c>
      <c r="H2" s="1">
        <v>3.78</v>
      </c>
      <c r="I2" s="1">
        <v>8.5</v>
      </c>
      <c r="J2" s="1">
        <v>32.129999999999995</v>
      </c>
    </row>
    <row r="3" spans="1:10">
      <c r="A3" s="1" t="s">
        <v>43</v>
      </c>
      <c r="B3" s="1" t="s">
        <v>40</v>
      </c>
      <c r="C3" s="1" t="s">
        <v>68</v>
      </c>
      <c r="D3" s="1" t="s">
        <v>45</v>
      </c>
      <c r="E3" s="1">
        <v>0.85</v>
      </c>
      <c r="F3" s="1">
        <v>2</v>
      </c>
      <c r="G3" s="1">
        <v>1</v>
      </c>
      <c r="H3" s="1">
        <v>1.7</v>
      </c>
      <c r="I3" s="1">
        <v>10</v>
      </c>
      <c r="J3" s="1">
        <v>21.912500000000001</v>
      </c>
    </row>
    <row r="4" spans="1:10">
      <c r="A4" s="1" t="s">
        <v>43</v>
      </c>
      <c r="B4" s="1" t="s">
        <v>40</v>
      </c>
      <c r="C4" s="1" t="s">
        <v>69</v>
      </c>
      <c r="D4" s="1" t="s">
        <v>45</v>
      </c>
      <c r="E4" s="1">
        <v>0.85</v>
      </c>
      <c r="F4" s="1">
        <v>2</v>
      </c>
      <c r="G4" s="1">
        <v>1</v>
      </c>
      <c r="H4" s="1">
        <v>1.7</v>
      </c>
      <c r="I4" s="1">
        <v>10</v>
      </c>
      <c r="J4" s="1">
        <v>21.912500000000001</v>
      </c>
    </row>
    <row r="5" spans="1:10">
      <c r="A5" s="1" t="s">
        <v>43</v>
      </c>
      <c r="B5" s="1" t="s">
        <v>40</v>
      </c>
      <c r="C5" s="1" t="s">
        <v>70</v>
      </c>
      <c r="D5" s="1" t="s">
        <v>45</v>
      </c>
      <c r="E5" s="1">
        <v>0.85</v>
      </c>
      <c r="F5" s="1">
        <v>2</v>
      </c>
      <c r="G5" s="1">
        <v>1</v>
      </c>
      <c r="H5" s="1">
        <v>1.7</v>
      </c>
      <c r="I5" s="1">
        <v>10</v>
      </c>
      <c r="J5" s="1">
        <v>21.912500000000001</v>
      </c>
    </row>
    <row r="6" spans="1:10">
      <c r="A6" s="1" t="s">
        <v>43</v>
      </c>
      <c r="B6" s="1" t="s">
        <v>40</v>
      </c>
      <c r="C6" s="1" t="s">
        <v>48</v>
      </c>
      <c r="D6" s="1" t="s">
        <v>45</v>
      </c>
      <c r="E6" s="1">
        <v>0.85</v>
      </c>
      <c r="F6" s="1">
        <v>2</v>
      </c>
      <c r="G6" s="1">
        <v>1</v>
      </c>
      <c r="I6" s="1">
        <v>55</v>
      </c>
      <c r="J6" s="1">
        <v>59.912500000000001</v>
      </c>
    </row>
    <row r="7" spans="1:10">
      <c r="A7" s="1" t="s">
        <v>43</v>
      </c>
      <c r="B7" s="1" t="s">
        <v>40</v>
      </c>
      <c r="C7" s="1" t="s">
        <v>49</v>
      </c>
      <c r="D7" s="1" t="s">
        <v>45</v>
      </c>
      <c r="E7" s="1">
        <v>0.85</v>
      </c>
      <c r="F7" s="1">
        <v>2</v>
      </c>
      <c r="G7" s="1">
        <v>1</v>
      </c>
      <c r="I7" s="1">
        <v>55</v>
      </c>
      <c r="J7" s="1">
        <v>59.912500000000001</v>
      </c>
    </row>
    <row r="8" spans="1:10">
      <c r="A8" s="1" t="s">
        <v>50</v>
      </c>
      <c r="B8" s="1" t="s">
        <v>40</v>
      </c>
      <c r="C8" s="1" t="s">
        <v>51</v>
      </c>
      <c r="D8" s="1" t="s">
        <v>52</v>
      </c>
      <c r="E8" s="1">
        <v>0.3</v>
      </c>
      <c r="F8" s="1">
        <v>0.85</v>
      </c>
      <c r="G8" s="1">
        <v>5</v>
      </c>
      <c r="H8" s="1">
        <v>1.2749999999999999</v>
      </c>
      <c r="I8" s="1">
        <v>7.5</v>
      </c>
      <c r="J8" s="1">
        <v>9.5625</v>
      </c>
    </row>
    <row r="9" spans="1:10">
      <c r="A9" s="1" t="s">
        <v>53</v>
      </c>
      <c r="B9" s="1" t="s">
        <v>40</v>
      </c>
      <c r="C9" s="1" t="s">
        <v>54</v>
      </c>
      <c r="D9" s="1" t="s">
        <v>52</v>
      </c>
      <c r="E9" s="1">
        <v>0.25</v>
      </c>
      <c r="F9" s="1">
        <v>0.12</v>
      </c>
      <c r="G9" s="1">
        <v>2</v>
      </c>
      <c r="H9" s="1">
        <v>0.06</v>
      </c>
      <c r="I9" s="1">
        <v>7.5</v>
      </c>
      <c r="J9" s="1">
        <v>0.44999999999999996</v>
      </c>
    </row>
    <row r="10" spans="1:10">
      <c r="A10" s="1" t="s">
        <v>53</v>
      </c>
      <c r="B10" s="1" t="s">
        <v>40</v>
      </c>
      <c r="C10" s="1" t="s">
        <v>55</v>
      </c>
      <c r="D10" s="1" t="s">
        <v>52</v>
      </c>
      <c r="E10" s="1">
        <v>0.57999999999999996</v>
      </c>
      <c r="F10" s="1">
        <v>0.41</v>
      </c>
      <c r="G10" s="1">
        <v>11</v>
      </c>
      <c r="H10" s="1">
        <v>2.6157999999999997</v>
      </c>
      <c r="I10" s="1">
        <v>54</v>
      </c>
      <c r="J10" s="1">
        <v>141.25319999999999</v>
      </c>
    </row>
    <row r="11" spans="1:10">
      <c r="A11" s="1" t="s">
        <v>56</v>
      </c>
      <c r="B11" s="1" t="s">
        <v>40</v>
      </c>
      <c r="C11" s="1" t="s">
        <v>57</v>
      </c>
      <c r="D11" s="1" t="s">
        <v>52</v>
      </c>
      <c r="E11" s="1">
        <v>0.6</v>
      </c>
      <c r="F11" s="1">
        <v>0.82</v>
      </c>
      <c r="G11" s="1">
        <v>40</v>
      </c>
      <c r="H11" s="1">
        <v>19.679999999999996</v>
      </c>
      <c r="I11" s="1">
        <v>54</v>
      </c>
      <c r="J11" s="1">
        <v>1062.7199999999998</v>
      </c>
    </row>
    <row r="12" spans="1:10">
      <c r="A12" s="1" t="s">
        <v>56</v>
      </c>
      <c r="B12" s="1" t="s">
        <v>40</v>
      </c>
      <c r="C12" s="1" t="s">
        <v>58</v>
      </c>
      <c r="E12" s="1">
        <v>0.56999999999999995</v>
      </c>
      <c r="F12" s="1">
        <v>0.82</v>
      </c>
      <c r="G12" s="1">
        <v>1</v>
      </c>
      <c r="H12" s="1">
        <v>0.46739999999999993</v>
      </c>
      <c r="I12" s="1">
        <v>54</v>
      </c>
      <c r="J12" s="1">
        <v>25.239599999999996</v>
      </c>
    </row>
    <row r="13" spans="1:10">
      <c r="A13" s="1" t="s">
        <v>56</v>
      </c>
      <c r="B13" s="1" t="s">
        <v>40</v>
      </c>
      <c r="C13" s="1" t="s">
        <v>59</v>
      </c>
      <c r="H13" s="1">
        <v>0</v>
      </c>
      <c r="J13" s="1">
        <v>30</v>
      </c>
    </row>
    <row r="14" spans="1:10">
      <c r="A14" s="1" t="s">
        <v>60</v>
      </c>
      <c r="B14" s="1" t="s">
        <v>40</v>
      </c>
      <c r="C14" s="1" t="s">
        <v>61</v>
      </c>
      <c r="D14" s="1" t="s">
        <v>62</v>
      </c>
      <c r="H14" s="1">
        <v>9.6</v>
      </c>
      <c r="I14" s="1">
        <v>15</v>
      </c>
      <c r="J14" s="1">
        <v>145</v>
      </c>
    </row>
    <row r="15" spans="1:10">
      <c r="A15" s="1" t="s">
        <v>56</v>
      </c>
      <c r="B15" s="1" t="s">
        <v>40</v>
      </c>
      <c r="C15" s="1" t="s">
        <v>63</v>
      </c>
      <c r="D15" s="1" t="s">
        <v>64</v>
      </c>
      <c r="G15" s="1">
        <v>30000</v>
      </c>
      <c r="H15" s="1">
        <v>0</v>
      </c>
      <c r="J15" s="1">
        <v>400</v>
      </c>
    </row>
    <row r="16" spans="1:10">
      <c r="J16" s="1">
        <v>3510.4406499999991</v>
      </c>
    </row>
    <row r="17" spans="10:10">
      <c r="J17" s="1">
        <v>3500.8781499999991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800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sifariş şablon</vt:lpstr>
      <vt:lpstr>Sheet3</vt:lpstr>
      <vt:lpstr>Sheet5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Zeyneb Alamova</cp:lastModifiedBy>
  <cp:revision>0</cp:revision>
  <dcterms:created xsi:type="dcterms:W3CDTF">2006-09-16T00:00:00Z</dcterms:created>
  <dcterms:modified xsi:type="dcterms:W3CDTF">2026-04-29T14:31:23Z</dcterms:modified>
</cp:coreProperties>
</file>