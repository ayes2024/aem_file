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BC2F791A-68A4-48D8-B3EC-E468B6D1F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iymət təklifi" sheetId="1" r:id="rId1"/>
  </sheets>
  <definedNames>
    <definedName name="_xlnm.Print_Area" localSheetId="0">'Qiymət təklifi'!$A$1:$G$12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10" i="1" l="1"/>
  <c r="G11" i="1" s="1"/>
  <c r="G12" i="1" s="1"/>
</calcChain>
</file>

<file path=xl/sharedStrings.xml><?xml version="1.0" encoding="utf-8"?>
<sst xmlns="http://schemas.openxmlformats.org/spreadsheetml/2006/main" count="24" uniqueCount="21">
  <si>
    <t>Davamiyyətə nəzarət avadanlığı üzrə qiymət təklifi</t>
  </si>
  <si>
    <t>S/N</t>
  </si>
  <si>
    <t>AVADANLIĞIN VƏ MATERİALLARIN ADLARI VƏ TEXNİKİ XARAKTERİSTİKASI</t>
  </si>
  <si>
    <t>ÖLÇÜ
VAHİDİ</t>
  </si>
  <si>
    <t>MİQDAR</t>
  </si>
  <si>
    <t>MATERİAL</t>
  </si>
  <si>
    <t>Hikvision DS-K1T342MFX-E1 FACE RECOGNITION MACHINE POE</t>
  </si>
  <si>
    <t>ədəd</t>
  </si>
  <si>
    <t>Kabel Cat 6 AVG 4*2*23mm (Ehtimal olunan)</t>
  </si>
  <si>
    <t>metr</t>
  </si>
  <si>
    <t>Quraşdırma materialları</t>
  </si>
  <si>
    <t>Quraşdırma və sazlama</t>
  </si>
  <si>
    <t>Nəqliyyat və ezam xərci (Cəlilabad, Bərdə, Ucar)</t>
  </si>
  <si>
    <t>Cəmi yekun məbləğ :</t>
  </si>
  <si>
    <t>ƏDV 18%</t>
  </si>
  <si>
    <t>Ümumi yekun məbləğ :</t>
  </si>
  <si>
    <t>V/QİYMƏTİ
AZN (ƏDV xaric)</t>
  </si>
  <si>
    <t>MƏBLƏĞ
AZN (ƏDV xaric)</t>
  </si>
  <si>
    <t xml:space="preserve">TƏKLİF EDİLƏN MODEL </t>
  </si>
  <si>
    <t>HIKVISION - DS-K1T342MFX-E1 Face Recognition Terminal</t>
  </si>
  <si>
    <t>VOLTAM CAT 6 FTP INDOOR HALOGEN FREE  Şəbəkə Kabeli 0.57 mm pure copper +1.0 HDPE +ground wire +Al foil +6.4mm PVC Fluke pass 500-METR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</si>
</sst>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Times New Roman"/>
    </font>
    <font>
      <sz val="12"/>
      <name val="Times New Roman"/>
    </font>
    <font>
      <b/>
      <sz val="12"/>
      <name val="Times New Roman"/>
    </font>
    <font>
      <b/>
      <sz val="11"/>
      <name val="Times New Roman"/>
      <family val="1"/>
    </font>
    <font>
      <b/>
      <sz val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zoomScaleNormal="100" workbookViewId="0">
      <selection activeCell="H10" sqref="H10"/>
    </sheetView>
  </sheetViews>
  <sheetFormatPr defaultRowHeight="14.4" x14ac:dyDescent="0.3"/>
  <cols>
    <col min="1" max="1" width="4.109375" customWidth="1"/>
    <col min="2" max="2" width="60" customWidth="1"/>
    <col min="3" max="3" width="12" customWidth="1"/>
    <col min="4" max="4" width="10" customWidth="1"/>
    <col min="5" max="5" width="53.77734375" style="8" customWidth="1"/>
    <col min="6" max="6" width="12.33203125" customWidth="1"/>
    <col min="7" max="7" width="14" customWidth="1"/>
  </cols>
  <sheetData>
    <row r="1" spans="1:7" ht="24" customHeight="1" x14ac:dyDescent="0.3">
      <c r="A1" s="14" t="s">
        <v>0</v>
      </c>
      <c r="B1" s="15"/>
      <c r="C1" s="15"/>
      <c r="D1" s="15"/>
      <c r="E1" s="15"/>
      <c r="F1" s="15"/>
      <c r="G1" s="15"/>
    </row>
    <row r="2" spans="1:7" ht="15" thickBot="1" x14ac:dyDescent="0.35"/>
    <row r="3" spans="1:7" ht="13.95" customHeight="1" x14ac:dyDescent="0.3">
      <c r="A3" s="24" t="s">
        <v>1</v>
      </c>
      <c r="B3" s="16" t="s">
        <v>2</v>
      </c>
      <c r="C3" s="16" t="s">
        <v>3</v>
      </c>
      <c r="D3" s="16" t="s">
        <v>4</v>
      </c>
      <c r="E3" s="18" t="s">
        <v>18</v>
      </c>
      <c r="F3" s="16" t="s">
        <v>5</v>
      </c>
      <c r="G3" s="23"/>
    </row>
    <row r="4" spans="1:7" ht="30.45" customHeight="1" x14ac:dyDescent="0.3">
      <c r="A4" s="25"/>
      <c r="B4" s="17"/>
      <c r="C4" s="17"/>
      <c r="D4" s="17"/>
      <c r="E4" s="19"/>
      <c r="F4" s="9" t="s">
        <v>16</v>
      </c>
      <c r="G4" s="10" t="s">
        <v>17</v>
      </c>
    </row>
    <row r="5" spans="1:7" ht="25.95" customHeight="1" x14ac:dyDescent="0.3">
      <c r="A5" s="1">
        <v>1</v>
      </c>
      <c r="B5" s="2" t="s">
        <v>6</v>
      </c>
      <c r="C5" s="3" t="s">
        <v>7</v>
      </c>
      <c r="D5" s="3">
        <v>12</v>
      </c>
      <c r="E5" s="12" t="s">
        <v>19</v>
      </c>
      <c r="F5" s="4">
        <v>222.33</v>
      </c>
      <c r="G5" s="5">
        <f>F5*D5</f>
        <v>2667.96</v>
      </c>
    </row>
    <row r="6" spans="1:7" ht="49.8" customHeight="1" x14ac:dyDescent="0.3">
      <c r="A6" s="1">
        <v>2</v>
      </c>
      <c r="B6" s="13" t="s">
        <v>8</v>
      </c>
      <c r="C6" s="3" t="s">
        <v>9</v>
      </c>
      <c r="D6" s="3">
        <v>500</v>
      </c>
      <c r="E6" s="12" t="s">
        <v>20</v>
      </c>
      <c r="F6" s="4">
        <v>0.72</v>
      </c>
      <c r="G6" s="5">
        <f>F6*D6</f>
        <v>360</v>
      </c>
    </row>
    <row r="7" spans="1:7" ht="22.05" customHeight="1" x14ac:dyDescent="0.3">
      <c r="A7" s="1">
        <v>3</v>
      </c>
      <c r="B7" s="2" t="s">
        <v>10</v>
      </c>
      <c r="C7" s="3" t="s">
        <v>7</v>
      </c>
      <c r="D7" s="3">
        <v>12</v>
      </c>
      <c r="E7" s="11"/>
      <c r="F7" s="4">
        <v>56.51</v>
      </c>
      <c r="G7" s="5">
        <f>F7*D7</f>
        <v>678.12</v>
      </c>
    </row>
    <row r="8" spans="1:7" ht="22.05" customHeight="1" x14ac:dyDescent="0.3">
      <c r="A8" s="1">
        <v>4</v>
      </c>
      <c r="B8" s="2" t="s">
        <v>11</v>
      </c>
      <c r="C8" s="3" t="s">
        <v>7</v>
      </c>
      <c r="D8" s="3">
        <v>12</v>
      </c>
      <c r="E8" s="11"/>
      <c r="F8" s="4">
        <v>105.94</v>
      </c>
      <c r="G8" s="5">
        <f>F8*D8</f>
        <v>1271.28</v>
      </c>
    </row>
    <row r="9" spans="1:7" ht="24" customHeight="1" x14ac:dyDescent="0.3">
      <c r="A9" s="1">
        <v>5</v>
      </c>
      <c r="B9" s="2" t="s">
        <v>12</v>
      </c>
      <c r="C9" s="3" t="s">
        <v>7</v>
      </c>
      <c r="D9" s="3">
        <v>1</v>
      </c>
      <c r="E9" s="11"/>
      <c r="F9" s="4">
        <v>1016.95</v>
      </c>
      <c r="G9" s="5">
        <f>F9*D9</f>
        <v>1016.95</v>
      </c>
    </row>
    <row r="10" spans="1:7" ht="22.05" customHeight="1" x14ac:dyDescent="0.3">
      <c r="A10" s="20" t="s">
        <v>13</v>
      </c>
      <c r="B10" s="21"/>
      <c r="C10" s="21"/>
      <c r="D10" s="21"/>
      <c r="E10" s="21"/>
      <c r="F10" s="21"/>
      <c r="G10" s="6">
        <f>SUM(G5:G9)</f>
        <v>5994.3099999999995</v>
      </c>
    </row>
    <row r="11" spans="1:7" ht="22.05" customHeight="1" x14ac:dyDescent="0.3">
      <c r="A11" s="20" t="s">
        <v>14</v>
      </c>
      <c r="B11" s="21"/>
      <c r="C11" s="21"/>
      <c r="D11" s="21"/>
      <c r="E11" s="21"/>
      <c r="F11" s="21"/>
      <c r="G11" s="6">
        <f>G10*18%</f>
        <v>1078.9757999999999</v>
      </c>
    </row>
    <row r="12" spans="1:7" ht="22.05" customHeight="1" x14ac:dyDescent="0.3">
      <c r="A12" s="22" t="s">
        <v>15</v>
      </c>
      <c r="B12" s="22"/>
      <c r="C12" s="22"/>
      <c r="D12" s="22"/>
      <c r="E12" s="22"/>
      <c r="F12" s="22"/>
      <c r="G12" s="7">
        <f>G10+G11</f>
        <v>7073.2857999999997</v>
      </c>
    </row>
  </sheetData>
  <mergeCells count="10">
    <mergeCell ref="A1:G1"/>
    <mergeCell ref="D3:D4"/>
    <mergeCell ref="E3:E4"/>
    <mergeCell ref="A11:F11"/>
    <mergeCell ref="A12:F12"/>
    <mergeCell ref="F3:G3"/>
    <mergeCell ref="A10:F10"/>
    <mergeCell ref="C3:C4"/>
    <mergeCell ref="B3:B4"/>
    <mergeCell ref="A3:A4"/>
  </mergeCells>
  <pageMargins left="0.7" right="0.7" top="0.75" bottom="0.75" header="0.3" footer="0.3"/>
  <pageSetup paperSize="9" scale="7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Qiymət təklifi</vt:lpstr>
      <vt:lpstr>'Qiymət təklifi'!Print_Area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Gunay M. Mammadova (PMD)</dc:creator>
  <cp:lastModifiedBy>Zeyneb Alamova</cp:lastModifiedBy>
  <cp:lastPrinted>2026-03-16T12:05:51Z</cp:lastPrinted>
  <dcterms:created xsi:type="dcterms:W3CDTF">2026-03-13T10:03:49Z</dcterms:created>
  <dcterms:modified xsi:type="dcterms:W3CDTF">2026-03-23T14:53:04Z</dcterms:modified>
</cp:coreProperties>
</file>