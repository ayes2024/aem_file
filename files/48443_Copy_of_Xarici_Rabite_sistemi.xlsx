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zeyneb.alamova\Desktop\"/>
    </mc:Choice>
  </mc:AlternateContent>
  <xr:revisionPtr revIDLastSave="0" documentId="13_ncr:1_{9186E41D-7999-491B-88AD-110E1717561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10" i="1" l="1"/>
  <c r="H107" i="1"/>
  <c r="H106" i="1"/>
  <c r="H105" i="1"/>
  <c r="H104" i="1"/>
  <c r="H96" i="1"/>
  <c r="H94" i="1"/>
  <c r="H93" i="1"/>
  <c r="H92" i="1"/>
  <c r="H89" i="1"/>
  <c r="H88" i="1"/>
  <c r="H87" i="1"/>
  <c r="H86" i="1"/>
  <c r="H85" i="1"/>
  <c r="H84" i="1"/>
  <c r="H83" i="1"/>
  <c r="H82" i="1"/>
  <c r="H80" i="1"/>
  <c r="H78" i="1"/>
  <c r="H75" i="1"/>
  <c r="H73" i="1"/>
  <c r="H71" i="1"/>
  <c r="H70" i="1"/>
  <c r="H69" i="1"/>
  <c r="H68" i="1"/>
  <c r="H55" i="1"/>
  <c r="H54" i="1"/>
  <c r="H51" i="1"/>
  <c r="H50" i="1"/>
  <c r="H49" i="1"/>
  <c r="H48" i="1"/>
  <c r="H45" i="1"/>
  <c r="H44" i="1"/>
  <c r="H42" i="1"/>
  <c r="H41" i="1"/>
  <c r="H40" i="1"/>
  <c r="H31" i="1"/>
  <c r="H30" i="1"/>
  <c r="H29" i="1"/>
  <c r="H27" i="1"/>
  <c r="H28" i="1"/>
  <c r="H26" i="1"/>
</calcChain>
</file>

<file path=xl/sharedStrings.xml><?xml version="1.0" encoding="utf-8"?>
<sst xmlns="http://schemas.openxmlformats.org/spreadsheetml/2006/main" count="295" uniqueCount="145">
  <si>
    <t>Xarici rabitə sistemi</t>
  </si>
  <si>
    <t>Bölmə 1. Xəbərdarlıq səslənmə sistemi</t>
  </si>
  <si>
    <t>Çalovunun tutumu 0.5 (0.5-0.63) m3 olan ekskavatorlarla qruntun özüboşaldan avtomobillərə yüklənməklə qazılması. qruntun qrupu: 3</t>
  </si>
  <si>
    <t>1000 m3</t>
  </si>
  <si>
    <t>Çalovunun tutumu 0.5 (0.5-0.63) m3 olan «əks çalovlu» və ya «draqlayn» tipli ekskavatorlarla qruntun kənara atılaraq qazılması. qruntun qrupu: 3</t>
  </si>
  <si>
    <t>Eni 2 m-ə qədər. dərinliyi 2 m-ə qədər olan xəndəklərdə qruntun bərkitmələr tətbiq etməklə əl ilə qazılması. qruntun qrupu: 3</t>
  </si>
  <si>
    <t>100 m3</t>
  </si>
  <si>
    <t>Özüboşaldan avtomobil. 17 t daşınma məsafəsi -5 km. 1-ci sinifli yük</t>
  </si>
  <si>
    <t>t</t>
  </si>
  <si>
    <t>Torpağın töküntü yerində işlərin yerinə yetirilməsi. qruntun qrupu: 2-3</t>
  </si>
  <si>
    <t>Qruntu 5 m-ə qədər məsafəyə yerinin dəyişdirilməsi ilə çalaların və xəndəklərin buldozerlərlə doldurulması. buldozerin gücü: 59 (80) kVt (a.g.). 2-ci qrup qrunt</t>
  </si>
  <si>
    <t>Xəndəklərin. çalaların və çuxurların əl ilə doldurulması. qruntun qrupu: 3</t>
  </si>
  <si>
    <t>100 m3 qrunt</t>
  </si>
  <si>
    <t>Pnevmatik döyəcləyicilərlə qruntun sıxlaşdırılması. qruntun qrupu: 1. 2</t>
  </si>
  <si>
    <t>Boru kəmərlərin altında əsasın düzəldilməsi: qumdan</t>
  </si>
  <si>
    <t>10 m3</t>
  </si>
  <si>
    <t>Beton M250. sinif B20</t>
  </si>
  <si>
    <t>m3</t>
  </si>
  <si>
    <t>Sement-qum qatışığı</t>
  </si>
  <si>
    <t>Trassanın piyada hissəsində yığılmış eyni tipli yığma dəmir-beton quyuların qurulması: KKS-2 (KKS-1)</t>
  </si>
  <si>
    <t>ədəd</t>
  </si>
  <si>
    <t>Dəmir-beton kabel kanalizasiya quyusu KKS-3-2 yığılma (keçid-3ədəd. döngəli 1 ədəd)</t>
  </si>
  <si>
    <t>Kabel quyuları və rabitə şaxtaları üçün KKç-1 konsolları</t>
  </si>
  <si>
    <t>100 ədəd</t>
  </si>
  <si>
    <t>Kabel quyuları və rabitə şaxtaları üçün KKç-2 konsolları</t>
  </si>
  <si>
    <t>Unifikasiya edilmiş radiorele rabitə sistemin dəstinin (RPT ORS) sabit cərəyanın paylayıcı şkafı (Telekommunikasiya qutusu)</t>
  </si>
  <si>
    <t>dəst</t>
  </si>
  <si>
    <t>Telefon paylayıcı şkaf SR20</t>
  </si>
  <si>
    <t>Xəndəkdə bir kabel olduğu zaman altlıqların qurulması</t>
  </si>
  <si>
    <t>100 m</t>
  </si>
  <si>
    <t>Bir kabelin qorunması üçün büzmələnmiş PVX borularının torpağın altından çəkilməsi. diametri: 75 mm (D=70mm)</t>
  </si>
  <si>
    <t>PE boru SDR 21 75x3.6 mm. 8 atm</t>
  </si>
  <si>
    <t>m</t>
  </si>
  <si>
    <t>Bir kabelin qorunması üçün büzmələnmiş PVX borularının torpağın altından çəkilməsi. diametri: 110 mm (D=100mm)</t>
  </si>
  <si>
    <t>PE boru SDR 21 110x5.3 mm. 8 atm</t>
  </si>
  <si>
    <t>Çəkilmiş boru. blok və qutularda 35 kV-a qədər kabel. 1 m kabelin kütləsi. kq. qədər:1</t>
  </si>
  <si>
    <t xml:space="preserve">   1x12FO (4kN) optik kabel (FO12)</t>
  </si>
  <si>
    <t xml:space="preserve">   1x24FO (4kN) optik kabel (FO24)</t>
  </si>
  <si>
    <t>Fiber optik kabel (Drop Wire Optik / DW FO FTTH 2 core /1000MFO/optic/optic/-1 Core) (Drop FO2)</t>
  </si>
  <si>
    <t>Birləşdirici yaxud şaxəli kabel qutusu (Splitter)</t>
  </si>
  <si>
    <t>Optik paylayıcı qutu (OPQ) 1x16 splitterli çöl tipli</t>
  </si>
  <si>
    <t>Mikro-modullar Blockless 1x4   (magistral)</t>
  </si>
  <si>
    <t>Birləşdirici və tənzimləyici sıxma polad muftalarının qoyulma 400mm</t>
  </si>
  <si>
    <t>10 ədəd</t>
  </si>
  <si>
    <t>Polad su boru kəmərlərinin. hidravlik sınaqdan çıxarmaqla çəkilməsi. boruların diametri: 150 mm</t>
  </si>
  <si>
    <t>km</t>
  </si>
  <si>
    <t>Boruları bərkitmək üçün xamıtlar</t>
  </si>
  <si>
    <t>Kanalın dibi ilə bərkitmədən çəkilən 35 kV-a qədər kabel. 1m kabelin kütləsi. kq. qədər 1</t>
  </si>
  <si>
    <t>Polietilen xəbərdarlıq lenti (20 sm enində. aşkar edilmir)</t>
  </si>
  <si>
    <t>Bölmə 2. Bölmə 2</t>
  </si>
  <si>
    <t>Xidməti rabitə kommutatoru (OLT 24 port)</t>
  </si>
  <si>
    <t>Kommutator 360ET 24 port .ölçüləri 440x300x44mm. 360W . 4K. 24 port switch poe 6.55 Mbit/s</t>
  </si>
  <si>
    <t>Xidməti rabitə kommutatoru (Patch panel 24port)</t>
  </si>
  <si>
    <t>Rabitə və internet şəbəkəsi üçün FO patch paneli 24 port A623-1</t>
  </si>
  <si>
    <t>Patch cord Cat6 cüt şəbəkə əlaqə kabeli 3 metr (5metr)</t>
  </si>
  <si>
    <t>Çıxarılan və qabağa çıxan bloklar (modullar. yuvacıqlar. ). kütləsi: 5 kq–a qədər</t>
  </si>
  <si>
    <t>Optik ötürücü modul SFP BİDİ 1G (20km) TX 1550NM/RX 1310NM</t>
  </si>
  <si>
    <t>Optik ötürücü modul SFP BİDİ 1G (20km) TX 1310NM/RX 1550NM</t>
  </si>
  <si>
    <t>Ştepsel rozetkası: gizli üsulla elektrik şəbəkəsinin çəkilməsi zamanı. batıqlı tipli (PDU6)</t>
  </si>
  <si>
    <t xml:space="preserve">Ştepsel rozetkası-yerlə birləşdirmə multi+ 2-li USB+Elektrik açarları.  QIZILI </t>
  </si>
  <si>
    <t>Optik (foto) elektrik qurğuları: qidalandırma və nəzarət blokları (UPS 10KVA)</t>
  </si>
  <si>
    <t xml:space="preserve">Fasiləsiz enerji təchizatı UPS 10 kVa </t>
  </si>
  <si>
    <t>Kommutasiya şkafı (48U)</t>
  </si>
  <si>
    <t>İP servis otağı üçün metal şkaf. 46U W=600mm D=600mm Free Standing   Cabinet 600x600x2265</t>
  </si>
  <si>
    <t>Ventilyator</t>
  </si>
  <si>
    <t xml:space="preserve">İP servis şkaf üçün fan modullar (havalandırma). 4fans. on/off controlled fan module 490x270x45 </t>
  </si>
  <si>
    <t>Birləşdirici yaxud şaxəli kabel qutusu (Spilter üçün qutu İP67)</t>
  </si>
  <si>
    <t>Splitterli optik paylayıcı qutu</t>
  </si>
  <si>
    <t>Sahədaxili videomüşahidə sistemi</t>
  </si>
  <si>
    <t>Bölmə 1. Bölmə</t>
  </si>
  <si>
    <t>Hündürlüyü 4 m qədər olan metal dirəklərin quraşdırılması: hazırlanmış beton binövrəyə</t>
  </si>
  <si>
    <t>Kamera üçün dirək 4-metrlik 80x80 qalınlığı 4mm (Kamera dirəyi 80x80x2 mm metal profildən. 245x245x8 mm qalınlığında dəmir lövhə ilə hazırlanmış dayaq hissələri və 100x100x2.8 mm qalınlığında dəmir lövhədən istifadə edilərək möhkəmləndirilmişdir. Pas və yağlardan təmizlənməsi üçün xüsusi kimyəvi maddələrdən istifadə edilərək. korroziyaya qarşı elektrostatik boya ilə örtülmüşdür. Yere bərkidilməsi üçün M16 ölçüsündə xüsusi anker boltları istifadə olunur)</t>
  </si>
  <si>
    <t>Videomüşahidə kameraları: kronşteynlərdə</t>
  </si>
  <si>
    <t xml:space="preserve">İP videokamera xarici </t>
  </si>
  <si>
    <t>Videoeffekt pultu (Videoqeydiyyat cihazı 48 kanallı)</t>
  </si>
  <si>
    <t xml:space="preserve">Videomüşahidə sistemi üçün videoqeydiyyat cihazı  </t>
  </si>
  <si>
    <t>Optik krossun quraşdırılması. optik lifli kabelin ölçülməsi nəzərə alınmaqla. liflərin sayı: 4</t>
  </si>
  <si>
    <t xml:space="preserve">Divarüstü optik kross  16 port </t>
  </si>
  <si>
    <t>Optik krossun quraşdırılması. optik lifli kabelin ölçülməsi nəzərə alınmaqla. liflərin sayı: 24</t>
  </si>
  <si>
    <t>Optik kross. sonlama qutusu. 24 port</t>
  </si>
  <si>
    <t>1 portlu AİK qutu plastik qutu</t>
  </si>
  <si>
    <t>Turşulu stasionar akkumulyator. tip:S-1. SK-1</t>
  </si>
  <si>
    <t>Adaptor 12V/5A</t>
  </si>
  <si>
    <t>Qəbuledici və ötürücü avadanlıq dəsti:radiokanalların sayı 3-ə qədər olan dispetçer rabitələri (Mediakonvertor)</t>
  </si>
  <si>
    <t>Optik mediakonverter GB 100KM single fiber 10/100/1000MB</t>
  </si>
  <si>
    <t>Xidməti rabitə kommutatoru (24 port)</t>
  </si>
  <si>
    <t>Kommutator 240ET 24 port .ölçüləri 440x300x44mm. 360W . 4K. 24 port switch poe 6.55 Mbit/s</t>
  </si>
  <si>
    <t>Kommutatora birləşdirilmiş giriş kommutatoru (Patch panel 24 port)</t>
  </si>
  <si>
    <t>Rabitə və internet şəbəkəsi üçün FO patch paneli 24 port</t>
  </si>
  <si>
    <t xml:space="preserve">Patch cord Cat6 cüt əlaqə kabeli 1 metr </t>
  </si>
  <si>
    <t>HDMİ kabel 3m-lik</t>
  </si>
  <si>
    <t>Videonəzarət qurğusu (Monitor )</t>
  </si>
  <si>
    <t xml:space="preserve">Videomüşahidə sistemi üçün monitor OP-23  </t>
  </si>
  <si>
    <t>THQ pultu (Televiziya Hərifçapı Qurğusu)</t>
  </si>
  <si>
    <t>Videomüşahidə sistemi üçün kompüter</t>
  </si>
  <si>
    <t>Daxili yaddaş Hard Disk 6TB 5400 RPM 3.5</t>
  </si>
  <si>
    <t>Kommutasiya şkafı (42U)</t>
  </si>
  <si>
    <t>İP servis otağı üçün metal şkaf. 42U W=600mm D=600mm Free Standing GT Network Cabinet 600x600x2053</t>
  </si>
  <si>
    <t>Ştepsel rozetkası: gizli üsulla elektrik şəbəkəsinin çəkilməsi zamanı. batıqlı tipli (Konnektor RJ-45)</t>
  </si>
  <si>
    <t>Konnektor</t>
  </si>
  <si>
    <t>Rozetka+Elektrik açarları 2. (Uzadıcı 8-li)</t>
  </si>
  <si>
    <t>Ştepsel rozetkalar. Modul tipli.  DƏRİN GÜMÜŞÜ  (Uzadıcı 4-lü)</t>
  </si>
  <si>
    <t>Quraşdırılmış konstruksiyalar üzrə viniplast boru. bəndlərlərlə divar və sütunlar üzrə bərkitməklə. diametri. mm. qədər: 50 (D=32mm)</t>
  </si>
  <si>
    <t>PE boru SDR 17 32x2 mm. 10 atm ()</t>
  </si>
  <si>
    <t>Quraşdırılmış konstruksiyalar üzrə viniplast boru. bəndlərlərlə divar və sütunlar üzrə bərkitməklə. diametri. mm. qədər: 63</t>
  </si>
  <si>
    <t>PE boru SDR 17 63x3.8 mm. 10 atm ()</t>
  </si>
  <si>
    <t>Siqnal kabeli CAT 6 UTP</t>
  </si>
  <si>
    <t>Optik kabel   1x4FO (4kN)</t>
  </si>
  <si>
    <t>1.0 kV-luq güc kabeli NYY 3x2.5 (RM)</t>
  </si>
  <si>
    <t>VOLTAM VF-117 GYXTW-12 core outdoor  fiber optik kabel  G652D Single Mode</t>
  </si>
  <si>
    <t>AZN</t>
  </si>
  <si>
    <t>VOLTAM VF-118 GYTS-24 core  outdoor  fiber optik kabel  G652D Single Mode</t>
  </si>
  <si>
    <t>VOLTAM VF-123 GJYXFCH -1core OUTDOOR Optik drop kabel G657A2-1 Core Single Mode 1000m</t>
  </si>
  <si>
    <t>VOLTAM VF-105 1x8 PLC splitters  micro modular blockless SC/UPC/G657A/1C/0.9/PVC/white/1.5m</t>
  </si>
  <si>
    <t>VOLTAM VF-157 FTTH Вох 32F, IP65, ABS, empty bох (with wall and pole-mounted accessories)</t>
  </si>
  <si>
    <t>VOLTAM  VF-48 1x4 Blockless PLC splitter (Mini type), SC/APC, G657A-PVC-0.9mm, 1m</t>
  </si>
  <si>
    <t>VOLTAM VF-52 24 Port Patch Panel with 24 pcs SC/UPC Adapter,24 pcs SC/UPC 0.9mm 1.5M Pigtail</t>
  </si>
  <si>
    <t>PATCH PANEL PP-03 19 Inch 1u 24 port Cat6 Utp patch panel with 1*back shelf, 110IDC</t>
  </si>
  <si>
    <t>VCOM - CAT6 - LAN KABEL 5M - ( BLACK )</t>
  </si>
  <si>
    <t>Ruijie SFP transceiver module NIS-GE-SFP-10KM-SM1310 (10km,1000BASE-LX mini GBIC)</t>
  </si>
  <si>
    <t>Ruijie SFP transceiver module MINI-GBIC-ZX80-SM1550 (1000BASE-ZX, SFP Transceiver, SM (1550nm, 80km, LC).)</t>
  </si>
  <si>
    <t>VOLTAM VA-11  10KVA/9000W 192VDC Tower Online UPS</t>
  </si>
  <si>
    <t>VOLTAM - VR-6042 - Rack Cabin 42U 600x1000 mm (4 x fans with plug 1 x shelf 2 x handle lock 1 x L Wrench, 1 x set key 4 x casters, 4 x feet 30 x screw</t>
  </si>
  <si>
    <r>
      <t xml:space="preserve">VOLTAM - VR-6042 - Rack Cabin </t>
    </r>
    <r>
      <rPr>
        <sz val="11"/>
        <color rgb="FFFF0000"/>
        <rFont val="Calibri"/>
        <family val="2"/>
        <scheme val="minor"/>
      </rPr>
      <t>42U</t>
    </r>
    <r>
      <rPr>
        <sz val="11"/>
        <color theme="1"/>
        <rFont val="Calibri"/>
        <family val="2"/>
        <scheme val="minor"/>
      </rPr>
      <t xml:space="preserve"> 600x1000 mm (4 x fans with plug 1 x shelf 2 x handle lock 1 x L Wrench, 1 x set key 4 x casters, 4 x feet 30 x screw</t>
    </r>
  </si>
  <si>
    <t>VOLTAM VF-109 16F  Fiber optic terminal box 16port CASSETTE TYPE</t>
  </si>
  <si>
    <t xml:space="preserve">  1x24FO (4kN) optik kabel</t>
  </si>
  <si>
    <t xml:space="preserve">  1x12FO (4kN) optik kabel</t>
  </si>
  <si>
    <t>VOLTAM VF-115 GYXTW-4 core outdoor  fiber optik kabel  G652D Single Mode</t>
  </si>
  <si>
    <t>VOLTAM CAT 6 FTP INDOOR HALOGEN FREE  Şəbəkə Kabeli 0.57 mm pure copper +1.0 HDPE +ground wire +Al foil +6.4mm PVC Fluke pass 500-METR</t>
  </si>
  <si>
    <t>TPLİNK RJ45 UTP CAT 6 PAKET (100 PCS)</t>
  </si>
  <si>
    <t>HIKVISION - DS60HKVS-VX1 (6TB/5400RPM)</t>
  </si>
  <si>
    <t>DAHUA MONITOR 28"inch - ( DHI-LM28-V400 )</t>
  </si>
  <si>
    <t>DAHUA MONITOR 55"inch - ( DHI-LM55-F400 )</t>
  </si>
  <si>
    <t>VOLTAM VH-09 HDMİ1.4 cable 4K 30HZ (3m)</t>
  </si>
  <si>
    <t>DATALINK CAT6 - LAN KABEL 1.5M ( RED )</t>
  </si>
  <si>
    <t>TP-Link - TL-SL1226P ( 24-Port 10/100Mbps + 2-Port Gigabit Unmanaged PoE+ Switch )</t>
  </si>
  <si>
    <t>TP-Link - LS1024G (24-Port Gigabit Desktop/Rackmount Switch)</t>
  </si>
  <si>
    <t>TP-Link - FC311A-20 10/100/1000Mbps Single-Mode Media Converter</t>
  </si>
  <si>
    <t>TP-Link - FC311B-20 10/100/1000Mbps Single-Mode Media Converter</t>
  </si>
  <si>
    <t>VOLTAM Desktop Adapter 12V 5A / 60W</t>
  </si>
  <si>
    <t>DAHUA - IPC-HFW1431SP-S4 - 4MP ( 2,8mm )</t>
  </si>
  <si>
    <t>DAHUA - DHI-NVR5864-EI2 ( 64 KANAL / 8 HDD )</t>
  </si>
  <si>
    <t>DAHUA - DHI-NKB5200-F Keyboard</t>
  </si>
  <si>
    <t>RBOX Junction Box</t>
  </si>
  <si>
    <t>TOTAL MƏBLƏĞ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</si>
</sst>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Arial"/>
      <family val="2"/>
    </font>
    <font>
      <sz val="12"/>
      <name val="Arial"/>
      <family val="2"/>
    </font>
    <font>
      <b/>
      <sz val="12"/>
      <name val="Arial"/>
      <family val="2"/>
      <charset val="204"/>
    </font>
    <font>
      <sz val="11"/>
      <color rgb="FFFF0000"/>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2" fontId="2" fillId="0" borderId="1" xfId="0" applyNumberFormat="1"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wrapText="1"/>
    </xf>
    <xf numFmtId="0" fontId="0" fillId="0" borderId="1" xfId="0" applyBorder="1"/>
    <xf numFmtId="0" fontId="1" fillId="0" borderId="1" xfId="0" applyFont="1" applyBorder="1" applyAlignment="1">
      <alignment horizontal="center"/>
    </xf>
    <xf numFmtId="0" fontId="2" fillId="3" borderId="1" xfId="0" applyFont="1" applyFill="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0" borderId="1" xfId="0" applyFill="1" applyBorder="1"/>
    <xf numFmtId="0" fontId="0" fillId="0" borderId="1" xfId="0" applyBorder="1" applyAlignment="1"/>
    <xf numFmtId="0" fontId="0" fillId="2" borderId="4" xfId="0" applyFill="1" applyBorder="1" applyAlignment="1">
      <alignment horizontal="center"/>
    </xf>
    <xf numFmtId="0" fontId="0" fillId="2" borderId="5" xfId="0" applyFill="1" applyBorder="1" applyAlignment="1">
      <alignment horizontal="center"/>
    </xf>
    <xf numFmtId="0" fontId="0" fillId="2" borderId="1" xfId="0" applyFill="1" applyBorder="1" applyAlignment="1"/>
    <xf numFmtId="0" fontId="5" fillId="2" borderId="1"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0"/>
  <sheetViews>
    <sheetView tabSelected="1" topLeftCell="A93" zoomScale="85" zoomScaleNormal="85" workbookViewId="0">
      <selection activeCell="L109" sqref="L109"/>
    </sheetView>
  </sheetViews>
  <sheetFormatPr defaultRowHeight="14.4" x14ac:dyDescent="0.3"/>
  <cols>
    <col min="2" max="2" width="96" customWidth="1"/>
    <col min="4" max="4" width="9.5546875" bestFit="1" customWidth="1"/>
    <col min="5" max="5" width="60.88671875" customWidth="1"/>
  </cols>
  <sheetData>
    <row r="1" spans="1:4" ht="15.6" x14ac:dyDescent="0.3">
      <c r="A1" s="12" t="s">
        <v>0</v>
      </c>
      <c r="B1" s="12"/>
      <c r="C1" s="12"/>
      <c r="D1" s="1"/>
    </row>
    <row r="2" spans="1:4" ht="15.6" x14ac:dyDescent="0.3">
      <c r="A2" s="2"/>
      <c r="B2" s="3" t="s">
        <v>1</v>
      </c>
      <c r="C2" s="4"/>
      <c r="D2" s="1"/>
    </row>
    <row r="3" spans="1:4" ht="30" x14ac:dyDescent="0.3">
      <c r="A3" s="5">
        <v>1</v>
      </c>
      <c r="B3" s="6" t="s">
        <v>2</v>
      </c>
      <c r="C3" s="7" t="s">
        <v>3</v>
      </c>
      <c r="D3" s="8">
        <v>2.1</v>
      </c>
    </row>
    <row r="4" spans="1:4" ht="30" x14ac:dyDescent="0.3">
      <c r="A4" s="5">
        <v>2</v>
      </c>
      <c r="B4" s="6" t="s">
        <v>4</v>
      </c>
      <c r="C4" s="7" t="s">
        <v>3</v>
      </c>
      <c r="D4" s="8">
        <v>11.242000000000001</v>
      </c>
    </row>
    <row r="5" spans="1:4" ht="30" x14ac:dyDescent="0.3">
      <c r="A5" s="5">
        <v>3</v>
      </c>
      <c r="B5" s="6" t="s">
        <v>5</v>
      </c>
      <c r="C5" s="7" t="s">
        <v>6</v>
      </c>
      <c r="D5" s="8">
        <v>2.38</v>
      </c>
    </row>
    <row r="6" spans="1:4" ht="15.6" x14ac:dyDescent="0.3">
      <c r="A6" s="5">
        <v>4</v>
      </c>
      <c r="B6" s="6" t="s">
        <v>7</v>
      </c>
      <c r="C6" s="7" t="s">
        <v>8</v>
      </c>
      <c r="D6" s="8">
        <v>4095</v>
      </c>
    </row>
    <row r="7" spans="1:4" ht="30" x14ac:dyDescent="0.3">
      <c r="A7" s="5">
        <v>5</v>
      </c>
      <c r="B7" s="6" t="s">
        <v>9</v>
      </c>
      <c r="C7" s="7" t="s">
        <v>3</v>
      </c>
      <c r="D7" s="8">
        <v>2.1</v>
      </c>
    </row>
    <row r="8" spans="1:4" ht="30" x14ac:dyDescent="0.3">
      <c r="A8" s="5">
        <v>6</v>
      </c>
      <c r="B8" s="6" t="s">
        <v>10</v>
      </c>
      <c r="C8" s="7" t="s">
        <v>3</v>
      </c>
      <c r="D8" s="8">
        <v>9.1839999999999993</v>
      </c>
    </row>
    <row r="9" spans="1:4" ht="30" x14ac:dyDescent="0.3">
      <c r="A9" s="5">
        <v>7</v>
      </c>
      <c r="B9" s="6" t="s">
        <v>11</v>
      </c>
      <c r="C9" s="7" t="s">
        <v>12</v>
      </c>
      <c r="D9" s="8">
        <v>22.96</v>
      </c>
    </row>
    <row r="10" spans="1:4" ht="15.6" x14ac:dyDescent="0.3">
      <c r="A10" s="5">
        <v>8</v>
      </c>
      <c r="B10" s="6" t="s">
        <v>13</v>
      </c>
      <c r="C10" s="7" t="s">
        <v>6</v>
      </c>
      <c r="D10" s="8">
        <v>91.84</v>
      </c>
    </row>
    <row r="11" spans="1:4" ht="15.6" x14ac:dyDescent="0.3">
      <c r="A11" s="5">
        <v>9</v>
      </c>
      <c r="B11" s="6" t="s">
        <v>14</v>
      </c>
      <c r="C11" s="7" t="s">
        <v>15</v>
      </c>
      <c r="D11" s="8">
        <v>135.72499999999999</v>
      </c>
    </row>
    <row r="12" spans="1:4" ht="15.6" x14ac:dyDescent="0.3">
      <c r="A12" s="5">
        <v>10</v>
      </c>
      <c r="B12" s="6" t="s">
        <v>16</v>
      </c>
      <c r="C12" s="7" t="s">
        <v>17</v>
      </c>
      <c r="D12" s="1">
        <v>3.2</v>
      </c>
    </row>
    <row r="13" spans="1:4" ht="15.6" x14ac:dyDescent="0.3">
      <c r="A13" s="5">
        <v>11</v>
      </c>
      <c r="B13" s="6" t="s">
        <v>18</v>
      </c>
      <c r="C13" s="7" t="s">
        <v>17</v>
      </c>
      <c r="D13" s="1">
        <v>4.5999999999999996</v>
      </c>
    </row>
    <row r="14" spans="1:4" ht="30" x14ac:dyDescent="0.3">
      <c r="A14" s="5">
        <v>12</v>
      </c>
      <c r="B14" s="6" t="s">
        <v>19</v>
      </c>
      <c r="C14" s="7" t="s">
        <v>20</v>
      </c>
      <c r="D14" s="1">
        <v>332</v>
      </c>
    </row>
    <row r="15" spans="1:4" ht="15.6" x14ac:dyDescent="0.3">
      <c r="A15" s="5">
        <v>13</v>
      </c>
      <c r="B15" s="6" t="s">
        <v>21</v>
      </c>
      <c r="C15" s="7" t="s">
        <v>20</v>
      </c>
      <c r="D15" s="1">
        <v>332</v>
      </c>
    </row>
    <row r="16" spans="1:4" ht="30" x14ac:dyDescent="0.3">
      <c r="A16" s="5">
        <v>14</v>
      </c>
      <c r="B16" s="6" t="s">
        <v>22</v>
      </c>
      <c r="C16" s="7" t="s">
        <v>23</v>
      </c>
      <c r="D16" s="1">
        <v>4.3</v>
      </c>
    </row>
    <row r="17" spans="1:8" ht="30" x14ac:dyDescent="0.3">
      <c r="A17" s="5">
        <v>15</v>
      </c>
      <c r="B17" s="6" t="s">
        <v>24</v>
      </c>
      <c r="C17" s="7" t="s">
        <v>23</v>
      </c>
      <c r="D17" s="1">
        <v>4.68</v>
      </c>
    </row>
    <row r="18" spans="1:8" ht="30" x14ac:dyDescent="0.3">
      <c r="A18" s="5">
        <v>16</v>
      </c>
      <c r="B18" s="6" t="s">
        <v>25</v>
      </c>
      <c r="C18" s="7" t="s">
        <v>26</v>
      </c>
      <c r="D18" s="1">
        <v>1</v>
      </c>
    </row>
    <row r="19" spans="1:8" ht="15.6" x14ac:dyDescent="0.3">
      <c r="A19" s="5">
        <v>17</v>
      </c>
      <c r="B19" s="6" t="s">
        <v>27</v>
      </c>
      <c r="C19" s="7" t="s">
        <v>20</v>
      </c>
      <c r="D19" s="1">
        <v>1</v>
      </c>
    </row>
    <row r="20" spans="1:8" ht="15.6" x14ac:dyDescent="0.3">
      <c r="A20" s="5">
        <v>18</v>
      </c>
      <c r="B20" s="6" t="s">
        <v>28</v>
      </c>
      <c r="C20" s="7" t="s">
        <v>29</v>
      </c>
      <c r="D20" s="8">
        <v>271.45</v>
      </c>
    </row>
    <row r="21" spans="1:8" ht="30" x14ac:dyDescent="0.3">
      <c r="A21" s="5">
        <v>19</v>
      </c>
      <c r="B21" s="6" t="s">
        <v>30</v>
      </c>
      <c r="C21" s="7" t="s">
        <v>29</v>
      </c>
      <c r="D21" s="1">
        <v>153.19999999999999</v>
      </c>
    </row>
    <row r="22" spans="1:8" ht="15.6" x14ac:dyDescent="0.3">
      <c r="A22" s="5">
        <v>20</v>
      </c>
      <c r="B22" s="6" t="s">
        <v>31</v>
      </c>
      <c r="C22" s="7" t="s">
        <v>32</v>
      </c>
      <c r="D22" s="1">
        <v>15320</v>
      </c>
    </row>
    <row r="23" spans="1:8" ht="30" x14ac:dyDescent="0.3">
      <c r="A23" s="5">
        <v>21</v>
      </c>
      <c r="B23" s="6" t="s">
        <v>33</v>
      </c>
      <c r="C23" s="7" t="s">
        <v>29</v>
      </c>
      <c r="D23" s="8">
        <v>118.25</v>
      </c>
    </row>
    <row r="24" spans="1:8" ht="15.6" x14ac:dyDescent="0.3">
      <c r="A24" s="5">
        <v>22</v>
      </c>
      <c r="B24" s="6" t="s">
        <v>34</v>
      </c>
      <c r="C24" s="7" t="s">
        <v>32</v>
      </c>
      <c r="D24" s="1">
        <v>11825</v>
      </c>
    </row>
    <row r="25" spans="1:8" ht="15.6" x14ac:dyDescent="0.3">
      <c r="A25" s="5">
        <v>23</v>
      </c>
      <c r="B25" s="6" t="s">
        <v>35</v>
      </c>
      <c r="C25" s="7" t="s">
        <v>29</v>
      </c>
      <c r="D25" s="8">
        <v>274.25</v>
      </c>
    </row>
    <row r="26" spans="1:8" ht="28.8" x14ac:dyDescent="0.3">
      <c r="A26" s="9">
        <v>24</v>
      </c>
      <c r="B26" s="6" t="s">
        <v>36</v>
      </c>
      <c r="C26" s="7" t="s">
        <v>32</v>
      </c>
      <c r="D26" s="1">
        <v>1625</v>
      </c>
      <c r="E26" s="10" t="s">
        <v>109</v>
      </c>
      <c r="F26" s="11">
        <v>0.85</v>
      </c>
      <c r="G26" s="11" t="s">
        <v>110</v>
      </c>
      <c r="H26" s="11">
        <f>F26*D26</f>
        <v>1381.25</v>
      </c>
    </row>
    <row r="27" spans="1:8" ht="28.8" x14ac:dyDescent="0.3">
      <c r="A27" s="9">
        <v>25</v>
      </c>
      <c r="B27" s="6" t="s">
        <v>37</v>
      </c>
      <c r="C27" s="7" t="s">
        <v>32</v>
      </c>
      <c r="D27" s="1">
        <v>9845</v>
      </c>
      <c r="E27" s="10" t="s">
        <v>111</v>
      </c>
      <c r="F27" s="11">
        <v>1.31</v>
      </c>
      <c r="G27" s="11" t="s">
        <v>110</v>
      </c>
      <c r="H27" s="11">
        <f>F27*D27</f>
        <v>12896.95</v>
      </c>
    </row>
    <row r="28" spans="1:8" ht="30" x14ac:dyDescent="0.3">
      <c r="A28" s="9">
        <v>26</v>
      </c>
      <c r="B28" s="6" t="s">
        <v>38</v>
      </c>
      <c r="C28" s="7" t="s">
        <v>32</v>
      </c>
      <c r="D28" s="1">
        <v>15955</v>
      </c>
      <c r="E28" s="10" t="s">
        <v>112</v>
      </c>
      <c r="F28" s="11">
        <v>0.15</v>
      </c>
      <c r="G28" s="11" t="s">
        <v>110</v>
      </c>
      <c r="H28" s="11">
        <f>F28*D28</f>
        <v>2393.25</v>
      </c>
    </row>
    <row r="29" spans="1:8" ht="28.8" x14ac:dyDescent="0.3">
      <c r="A29" s="9">
        <v>27</v>
      </c>
      <c r="B29" s="13" t="s">
        <v>39</v>
      </c>
      <c r="C29" s="7" t="s">
        <v>20</v>
      </c>
      <c r="D29" s="1">
        <v>117</v>
      </c>
      <c r="E29" s="10" t="s">
        <v>113</v>
      </c>
      <c r="F29" s="11">
        <v>13.62</v>
      </c>
      <c r="G29" s="20" t="s">
        <v>110</v>
      </c>
      <c r="H29" s="11">
        <f>F29*D29</f>
        <v>1593.54</v>
      </c>
    </row>
    <row r="30" spans="1:8" ht="28.8" x14ac:dyDescent="0.3">
      <c r="A30" s="9">
        <v>28</v>
      </c>
      <c r="B30" s="6" t="s">
        <v>40</v>
      </c>
      <c r="C30" s="7" t="s">
        <v>20</v>
      </c>
      <c r="D30" s="1">
        <v>12</v>
      </c>
      <c r="E30" s="10" t="s">
        <v>114</v>
      </c>
      <c r="F30" s="11">
        <v>34.01</v>
      </c>
      <c r="G30" s="20" t="s">
        <v>110</v>
      </c>
      <c r="H30" s="11">
        <f>F30*D30</f>
        <v>408.12</v>
      </c>
    </row>
    <row r="31" spans="1:8" ht="28.8" x14ac:dyDescent="0.3">
      <c r="A31" s="9">
        <v>29</v>
      </c>
      <c r="B31" s="6" t="s">
        <v>41</v>
      </c>
      <c r="C31" s="7" t="s">
        <v>20</v>
      </c>
      <c r="D31" s="1">
        <v>105</v>
      </c>
      <c r="E31" s="10" t="s">
        <v>115</v>
      </c>
      <c r="F31" s="11">
        <v>8.52</v>
      </c>
      <c r="G31" s="20" t="s">
        <v>110</v>
      </c>
      <c r="H31" s="11">
        <f>F31*D31</f>
        <v>894.59999999999991</v>
      </c>
    </row>
    <row r="32" spans="1:8" ht="30" x14ac:dyDescent="0.3">
      <c r="A32" s="5">
        <v>30</v>
      </c>
      <c r="B32" s="6" t="s">
        <v>42</v>
      </c>
      <c r="C32" s="7" t="s">
        <v>43</v>
      </c>
      <c r="D32" s="1">
        <v>0.7</v>
      </c>
    </row>
    <row r="33" spans="1:8" ht="30" x14ac:dyDescent="0.3">
      <c r="A33" s="5">
        <v>31</v>
      </c>
      <c r="B33" s="6" t="s">
        <v>44</v>
      </c>
      <c r="C33" s="7" t="s">
        <v>45</v>
      </c>
      <c r="D33" s="1">
        <v>0.26</v>
      </c>
    </row>
    <row r="34" spans="1:8" ht="15.6" x14ac:dyDescent="0.3">
      <c r="A34" s="5">
        <v>32</v>
      </c>
      <c r="B34" s="6" t="s">
        <v>46</v>
      </c>
      <c r="C34" s="7" t="s">
        <v>20</v>
      </c>
      <c r="D34" s="1">
        <v>130</v>
      </c>
    </row>
    <row r="35" spans="1:8" ht="15.6" x14ac:dyDescent="0.3">
      <c r="A35" s="5">
        <v>33</v>
      </c>
      <c r="B35" s="6" t="s">
        <v>47</v>
      </c>
      <c r="C35" s="7" t="s">
        <v>29</v>
      </c>
      <c r="D35" s="8">
        <v>271.45</v>
      </c>
    </row>
    <row r="36" spans="1:8" ht="15.6" x14ac:dyDescent="0.3">
      <c r="A36" s="5">
        <v>34</v>
      </c>
      <c r="B36" s="13" t="s">
        <v>48</v>
      </c>
      <c r="C36" s="7" t="s">
        <v>32</v>
      </c>
      <c r="D36" s="1">
        <v>27145</v>
      </c>
    </row>
    <row r="37" spans="1:8" ht="15.6" x14ac:dyDescent="0.3">
      <c r="A37" s="2"/>
      <c r="B37" s="3" t="s">
        <v>49</v>
      </c>
      <c r="C37" s="4"/>
      <c r="D37" s="1"/>
    </row>
    <row r="38" spans="1:8" ht="15.6" x14ac:dyDescent="0.3">
      <c r="A38" s="5">
        <v>35</v>
      </c>
      <c r="B38" s="6" t="s">
        <v>50</v>
      </c>
      <c r="C38" s="7" t="s">
        <v>20</v>
      </c>
      <c r="D38" s="1">
        <v>1</v>
      </c>
    </row>
    <row r="39" spans="1:8" ht="30" x14ac:dyDescent="0.3">
      <c r="A39" s="5">
        <v>36</v>
      </c>
      <c r="B39" s="6" t="s">
        <v>51</v>
      </c>
      <c r="C39" s="7" t="s">
        <v>20</v>
      </c>
      <c r="D39" s="1">
        <v>1</v>
      </c>
    </row>
    <row r="40" spans="1:8" ht="35.4" customHeight="1" x14ac:dyDescent="0.3">
      <c r="A40" s="9">
        <v>37</v>
      </c>
      <c r="B40" s="6" t="s">
        <v>52</v>
      </c>
      <c r="C40" s="7" t="s">
        <v>20</v>
      </c>
      <c r="D40" s="1">
        <v>1</v>
      </c>
      <c r="E40" s="10" t="s">
        <v>117</v>
      </c>
      <c r="F40" s="11">
        <v>51.49</v>
      </c>
      <c r="G40" s="11" t="s">
        <v>110</v>
      </c>
      <c r="H40" s="11">
        <f>F40*D40</f>
        <v>51.49</v>
      </c>
    </row>
    <row r="41" spans="1:8" ht="28.8" x14ac:dyDescent="0.3">
      <c r="A41" s="9">
        <v>38</v>
      </c>
      <c r="B41" s="6" t="s">
        <v>53</v>
      </c>
      <c r="C41" s="7" t="s">
        <v>20</v>
      </c>
      <c r="D41" s="1">
        <v>1</v>
      </c>
      <c r="E41" s="10" t="s">
        <v>116</v>
      </c>
      <c r="F41" s="11">
        <v>68.12</v>
      </c>
      <c r="G41" s="11" t="s">
        <v>110</v>
      </c>
      <c r="H41" s="11">
        <f>F41*D41</f>
        <v>68.12</v>
      </c>
    </row>
    <row r="42" spans="1:8" ht="15.6" x14ac:dyDescent="0.3">
      <c r="A42" s="9">
        <v>39</v>
      </c>
      <c r="B42" s="6" t="s">
        <v>54</v>
      </c>
      <c r="C42" s="7" t="s">
        <v>20</v>
      </c>
      <c r="D42" s="1">
        <v>4</v>
      </c>
      <c r="E42" s="11" t="s">
        <v>118</v>
      </c>
      <c r="F42" s="11">
        <v>3.29</v>
      </c>
      <c r="G42" s="11" t="s">
        <v>110</v>
      </c>
      <c r="H42" s="11">
        <f>F42*D42</f>
        <v>13.16</v>
      </c>
    </row>
    <row r="43" spans="1:8" ht="15.6" x14ac:dyDescent="0.3">
      <c r="A43" s="5">
        <v>40</v>
      </c>
      <c r="B43" s="6" t="s">
        <v>55</v>
      </c>
      <c r="C43" s="7" t="s">
        <v>20</v>
      </c>
      <c r="D43" s="1">
        <v>4</v>
      </c>
      <c r="E43" s="11"/>
      <c r="F43" s="11"/>
      <c r="G43" s="11"/>
      <c r="H43" s="11"/>
    </row>
    <row r="44" spans="1:8" ht="28.8" x14ac:dyDescent="0.3">
      <c r="A44" s="9">
        <v>41</v>
      </c>
      <c r="B44" s="6" t="s">
        <v>56</v>
      </c>
      <c r="C44" s="7" t="s">
        <v>20</v>
      </c>
      <c r="D44" s="1">
        <v>2</v>
      </c>
      <c r="E44" s="10" t="s">
        <v>119</v>
      </c>
      <c r="F44" s="11">
        <v>72.989999999999995</v>
      </c>
      <c r="G44" s="11" t="s">
        <v>110</v>
      </c>
      <c r="H44" s="11">
        <f>F44*D44</f>
        <v>145.97999999999999</v>
      </c>
    </row>
    <row r="45" spans="1:8" ht="28.8" x14ac:dyDescent="0.3">
      <c r="A45" s="9">
        <v>42</v>
      </c>
      <c r="B45" s="6" t="s">
        <v>57</v>
      </c>
      <c r="C45" s="7" t="s">
        <v>20</v>
      </c>
      <c r="D45" s="1">
        <v>2</v>
      </c>
      <c r="E45" s="10" t="s">
        <v>120</v>
      </c>
      <c r="F45" s="11">
        <v>217.68</v>
      </c>
      <c r="G45" s="11" t="s">
        <v>110</v>
      </c>
      <c r="H45" s="11">
        <f>F45*D45</f>
        <v>435.36</v>
      </c>
    </row>
    <row r="46" spans="1:8" ht="30" x14ac:dyDescent="0.3">
      <c r="A46" s="5">
        <v>43</v>
      </c>
      <c r="B46" s="6" t="s">
        <v>58</v>
      </c>
      <c r="C46" s="7" t="s">
        <v>23</v>
      </c>
      <c r="D46" s="1">
        <v>0.01</v>
      </c>
    </row>
    <row r="47" spans="1:8" ht="15.6" x14ac:dyDescent="0.3">
      <c r="A47" s="5">
        <v>44</v>
      </c>
      <c r="B47" s="6" t="s">
        <v>59</v>
      </c>
      <c r="C47" s="7" t="s">
        <v>20</v>
      </c>
      <c r="D47" s="1">
        <v>1</v>
      </c>
    </row>
    <row r="48" spans="1:8" ht="15.6" x14ac:dyDescent="0.3">
      <c r="A48" s="9">
        <v>45</v>
      </c>
      <c r="B48" s="6" t="s">
        <v>60</v>
      </c>
      <c r="C48" s="7" t="s">
        <v>20</v>
      </c>
      <c r="D48" s="1">
        <v>1</v>
      </c>
      <c r="E48" s="11" t="s">
        <v>121</v>
      </c>
      <c r="F48" s="11">
        <v>1350</v>
      </c>
      <c r="G48" s="11" t="s">
        <v>110</v>
      </c>
      <c r="H48" s="11">
        <f>F48*D48</f>
        <v>1350</v>
      </c>
    </row>
    <row r="49" spans="1:8" ht="15.6" x14ac:dyDescent="0.3">
      <c r="A49" s="9">
        <v>46</v>
      </c>
      <c r="B49" s="6" t="s">
        <v>61</v>
      </c>
      <c r="C49" s="7" t="s">
        <v>20</v>
      </c>
      <c r="D49" s="1">
        <v>1</v>
      </c>
      <c r="E49" s="11" t="s">
        <v>121</v>
      </c>
      <c r="F49" s="11">
        <v>1350</v>
      </c>
      <c r="G49" s="11" t="s">
        <v>110</v>
      </c>
      <c r="H49" s="11">
        <f>F49*D49</f>
        <v>1350</v>
      </c>
    </row>
    <row r="50" spans="1:8" ht="43.2" x14ac:dyDescent="0.3">
      <c r="A50" s="9">
        <v>47</v>
      </c>
      <c r="B50" s="6" t="s">
        <v>62</v>
      </c>
      <c r="C50" s="7" t="s">
        <v>20</v>
      </c>
      <c r="D50" s="1">
        <v>1</v>
      </c>
      <c r="E50" s="10" t="s">
        <v>123</v>
      </c>
      <c r="F50" s="11">
        <v>480.01</v>
      </c>
      <c r="G50" s="11" t="s">
        <v>110</v>
      </c>
      <c r="H50" s="11">
        <f>F50*D50</f>
        <v>480.01</v>
      </c>
    </row>
    <row r="51" spans="1:8" ht="43.2" x14ac:dyDescent="0.3">
      <c r="A51" s="9">
        <v>48</v>
      </c>
      <c r="B51" s="6" t="s">
        <v>63</v>
      </c>
      <c r="C51" s="7" t="s">
        <v>20</v>
      </c>
      <c r="D51" s="1">
        <v>1</v>
      </c>
      <c r="E51" s="10" t="s">
        <v>123</v>
      </c>
      <c r="F51" s="11">
        <v>480.01</v>
      </c>
      <c r="G51" s="11" t="s">
        <v>110</v>
      </c>
      <c r="H51" s="11">
        <f>F51*D51</f>
        <v>480.01</v>
      </c>
    </row>
    <row r="52" spans="1:8" ht="15.6" x14ac:dyDescent="0.3">
      <c r="A52" s="5">
        <v>49</v>
      </c>
      <c r="B52" s="6" t="s">
        <v>64</v>
      </c>
      <c r="C52" s="7" t="s">
        <v>20</v>
      </c>
      <c r="D52" s="1">
        <v>1</v>
      </c>
    </row>
    <row r="53" spans="1:8" ht="30" x14ac:dyDescent="0.3">
      <c r="A53" s="5">
        <v>50</v>
      </c>
      <c r="B53" s="6" t="s">
        <v>65</v>
      </c>
      <c r="C53" s="7" t="s">
        <v>20</v>
      </c>
      <c r="D53" s="1">
        <v>1</v>
      </c>
    </row>
    <row r="54" spans="1:8" ht="15.6" x14ac:dyDescent="0.3">
      <c r="A54" s="9">
        <v>51</v>
      </c>
      <c r="B54" s="6" t="s">
        <v>66</v>
      </c>
      <c r="C54" s="7" t="s">
        <v>20</v>
      </c>
      <c r="D54" s="1">
        <v>117</v>
      </c>
      <c r="E54" s="10" t="s">
        <v>124</v>
      </c>
      <c r="F54" s="11">
        <v>14.99</v>
      </c>
      <c r="G54" s="11" t="s">
        <v>110</v>
      </c>
      <c r="H54" s="11">
        <f>F54*D54</f>
        <v>1753.83</v>
      </c>
    </row>
    <row r="55" spans="1:8" ht="28.8" x14ac:dyDescent="0.3">
      <c r="A55" s="9">
        <v>52</v>
      </c>
      <c r="B55" s="6" t="s">
        <v>67</v>
      </c>
      <c r="C55" s="7" t="s">
        <v>20</v>
      </c>
      <c r="D55" s="1">
        <v>117</v>
      </c>
      <c r="E55" s="10" t="s">
        <v>114</v>
      </c>
      <c r="F55" s="11">
        <v>34.01</v>
      </c>
      <c r="G55" s="11" t="s">
        <v>110</v>
      </c>
      <c r="H55" s="11">
        <f>F55*D55</f>
        <v>3979.1699999999996</v>
      </c>
    </row>
    <row r="56" spans="1:8" ht="15.6" x14ac:dyDescent="0.3">
      <c r="A56" s="12" t="s">
        <v>68</v>
      </c>
      <c r="B56" s="12"/>
      <c r="C56" s="12"/>
      <c r="D56" s="1"/>
    </row>
    <row r="57" spans="1:8" ht="15.6" x14ac:dyDescent="0.3">
      <c r="A57" s="2"/>
      <c r="B57" s="3" t="s">
        <v>69</v>
      </c>
      <c r="C57" s="4"/>
      <c r="D57" s="8"/>
    </row>
    <row r="58" spans="1:8" ht="30" x14ac:dyDescent="0.3">
      <c r="A58" s="5">
        <v>1</v>
      </c>
      <c r="B58" s="6" t="s">
        <v>2</v>
      </c>
      <c r="C58" s="7" t="s">
        <v>3</v>
      </c>
      <c r="D58" s="8">
        <v>0.48499999999999999</v>
      </c>
    </row>
    <row r="59" spans="1:8" ht="30" x14ac:dyDescent="0.3">
      <c r="A59" s="5">
        <v>2</v>
      </c>
      <c r="B59" s="6" t="s">
        <v>4</v>
      </c>
      <c r="C59" s="7" t="s">
        <v>3</v>
      </c>
      <c r="D59" s="8">
        <v>6.3920000000000003</v>
      </c>
    </row>
    <row r="60" spans="1:8" ht="30" x14ac:dyDescent="0.3">
      <c r="A60" s="5">
        <v>3</v>
      </c>
      <c r="B60" s="6" t="s">
        <v>5</v>
      </c>
      <c r="C60" s="7" t="s">
        <v>6</v>
      </c>
      <c r="D60" s="8">
        <v>1.23</v>
      </c>
    </row>
    <row r="61" spans="1:8" ht="15.6" x14ac:dyDescent="0.3">
      <c r="A61" s="5">
        <v>4</v>
      </c>
      <c r="B61" s="6" t="s">
        <v>7</v>
      </c>
      <c r="C61" s="7" t="s">
        <v>8</v>
      </c>
      <c r="D61" s="8">
        <v>945.75</v>
      </c>
    </row>
    <row r="62" spans="1:8" ht="30" x14ac:dyDescent="0.3">
      <c r="A62" s="5">
        <v>5</v>
      </c>
      <c r="B62" s="6" t="s">
        <v>9</v>
      </c>
      <c r="C62" s="7" t="s">
        <v>3</v>
      </c>
      <c r="D62" s="8">
        <v>0.48499999999999999</v>
      </c>
    </row>
    <row r="63" spans="1:8" ht="30" x14ac:dyDescent="0.3">
      <c r="A63" s="5">
        <v>6</v>
      </c>
      <c r="B63" s="6" t="s">
        <v>10</v>
      </c>
      <c r="C63" s="7" t="s">
        <v>3</v>
      </c>
      <c r="D63" s="8">
        <v>5.2119999999999997</v>
      </c>
    </row>
    <row r="64" spans="1:8" ht="30" x14ac:dyDescent="0.3">
      <c r="A64" s="5">
        <v>7</v>
      </c>
      <c r="B64" s="6" t="s">
        <v>11</v>
      </c>
      <c r="C64" s="7" t="s">
        <v>12</v>
      </c>
      <c r="D64" s="8">
        <v>13.03</v>
      </c>
    </row>
    <row r="65" spans="1:8" ht="15.6" x14ac:dyDescent="0.3">
      <c r="A65" s="5">
        <v>8</v>
      </c>
      <c r="B65" s="6" t="s">
        <v>13</v>
      </c>
      <c r="C65" s="7" t="s">
        <v>6</v>
      </c>
      <c r="D65" s="8">
        <v>52.12</v>
      </c>
    </row>
    <row r="66" spans="1:8" ht="30" x14ac:dyDescent="0.3">
      <c r="A66" s="5">
        <v>9</v>
      </c>
      <c r="B66" s="6" t="s">
        <v>70</v>
      </c>
      <c r="C66" s="7" t="s">
        <v>23</v>
      </c>
      <c r="D66" s="1">
        <v>0.2</v>
      </c>
    </row>
    <row r="67" spans="1:8" ht="90" x14ac:dyDescent="0.3">
      <c r="A67" s="5">
        <v>10</v>
      </c>
      <c r="B67" s="6" t="s">
        <v>71</v>
      </c>
      <c r="C67" s="7" t="s">
        <v>20</v>
      </c>
      <c r="D67" s="1">
        <v>20</v>
      </c>
    </row>
    <row r="68" spans="1:8" ht="15.6" x14ac:dyDescent="0.3">
      <c r="A68" s="9">
        <v>11</v>
      </c>
      <c r="B68" s="6" t="s">
        <v>72</v>
      </c>
      <c r="C68" s="7" t="s">
        <v>20</v>
      </c>
      <c r="D68" s="1">
        <v>67</v>
      </c>
      <c r="E68" s="11" t="s">
        <v>143</v>
      </c>
      <c r="F68" s="11">
        <v>0.9</v>
      </c>
      <c r="G68" s="11" t="s">
        <v>110</v>
      </c>
      <c r="H68" s="11">
        <f>F68*D68</f>
        <v>60.300000000000004</v>
      </c>
    </row>
    <row r="69" spans="1:8" ht="15.6" x14ac:dyDescent="0.3">
      <c r="A69" s="9">
        <v>12</v>
      </c>
      <c r="B69" s="6" t="s">
        <v>73</v>
      </c>
      <c r="C69" s="7" t="s">
        <v>20</v>
      </c>
      <c r="D69" s="1">
        <v>67</v>
      </c>
      <c r="E69" s="11" t="s">
        <v>140</v>
      </c>
      <c r="F69" s="11">
        <v>102.18</v>
      </c>
      <c r="G69" s="11" t="s">
        <v>110</v>
      </c>
      <c r="H69" s="11">
        <f>F69*D69</f>
        <v>6846.06</v>
      </c>
    </row>
    <row r="70" spans="1:8" ht="15.6" x14ac:dyDescent="0.3">
      <c r="A70" s="9">
        <v>13</v>
      </c>
      <c r="B70" s="6" t="s">
        <v>74</v>
      </c>
      <c r="C70" s="7" t="s">
        <v>20</v>
      </c>
      <c r="D70" s="1">
        <v>2</v>
      </c>
      <c r="E70" s="11" t="s">
        <v>142</v>
      </c>
      <c r="F70" s="11">
        <v>729.29</v>
      </c>
      <c r="G70" s="11" t="s">
        <v>110</v>
      </c>
      <c r="H70" s="11">
        <f>F70*D70</f>
        <v>1458.58</v>
      </c>
    </row>
    <row r="71" spans="1:8" ht="15.6" x14ac:dyDescent="0.3">
      <c r="A71" s="9">
        <v>14</v>
      </c>
      <c r="B71" s="6" t="s">
        <v>75</v>
      </c>
      <c r="C71" s="7" t="s">
        <v>26</v>
      </c>
      <c r="D71" s="1">
        <v>2</v>
      </c>
      <c r="E71" s="11" t="s">
        <v>141</v>
      </c>
      <c r="F71" s="11">
        <v>1558.25</v>
      </c>
      <c r="G71" s="11" t="s">
        <v>110</v>
      </c>
      <c r="H71" s="11">
        <f>F71*D71</f>
        <v>3116.5</v>
      </c>
    </row>
    <row r="72" spans="1:8" ht="15.6" x14ac:dyDescent="0.3">
      <c r="A72" s="5">
        <v>15</v>
      </c>
      <c r="B72" s="6" t="s">
        <v>76</v>
      </c>
      <c r="C72" s="7" t="s">
        <v>20</v>
      </c>
      <c r="D72" s="1">
        <v>20</v>
      </c>
    </row>
    <row r="73" spans="1:8" ht="28.8" x14ac:dyDescent="0.3">
      <c r="A73" s="9">
        <v>16</v>
      </c>
      <c r="B73" s="6" t="s">
        <v>77</v>
      </c>
      <c r="C73" s="7" t="s">
        <v>20</v>
      </c>
      <c r="D73" s="1">
        <v>20</v>
      </c>
      <c r="E73" s="10" t="s">
        <v>114</v>
      </c>
      <c r="F73" s="11">
        <v>34.01</v>
      </c>
      <c r="G73" s="11" t="s">
        <v>110</v>
      </c>
      <c r="H73" s="11">
        <f>F73*D73</f>
        <v>680.19999999999993</v>
      </c>
    </row>
    <row r="74" spans="1:8" ht="15.6" x14ac:dyDescent="0.3">
      <c r="A74" s="5">
        <v>17</v>
      </c>
      <c r="B74" s="6" t="s">
        <v>78</v>
      </c>
      <c r="C74" s="7" t="s">
        <v>20</v>
      </c>
      <c r="D74" s="1">
        <v>3</v>
      </c>
    </row>
    <row r="75" spans="1:8" ht="28.8" x14ac:dyDescent="0.3">
      <c r="A75" s="9">
        <v>18</v>
      </c>
      <c r="B75" s="6" t="s">
        <v>79</v>
      </c>
      <c r="C75" s="7" t="s">
        <v>20</v>
      </c>
      <c r="D75" s="1">
        <v>3</v>
      </c>
      <c r="E75" s="10" t="s">
        <v>117</v>
      </c>
      <c r="F75" s="11">
        <v>51.49</v>
      </c>
      <c r="G75" s="11" t="s">
        <v>110</v>
      </c>
      <c r="H75" s="11">
        <f>F75*D75</f>
        <v>154.47</v>
      </c>
    </row>
    <row r="76" spans="1:8" ht="15.6" x14ac:dyDescent="0.3">
      <c r="A76" s="5">
        <v>19</v>
      </c>
      <c r="B76" s="6" t="s">
        <v>80</v>
      </c>
      <c r="C76" s="7" t="s">
        <v>20</v>
      </c>
      <c r="D76" s="1">
        <v>20</v>
      </c>
    </row>
    <row r="77" spans="1:8" ht="15.6" x14ac:dyDescent="0.3">
      <c r="A77" s="5">
        <v>20</v>
      </c>
      <c r="B77" s="6" t="s">
        <v>81</v>
      </c>
      <c r="C77" s="7" t="s">
        <v>20</v>
      </c>
      <c r="D77" s="1">
        <v>20</v>
      </c>
    </row>
    <row r="78" spans="1:8" ht="15.6" x14ac:dyDescent="0.3">
      <c r="A78" s="9">
        <v>21</v>
      </c>
      <c r="B78" s="6" t="s">
        <v>82</v>
      </c>
      <c r="C78" s="7" t="s">
        <v>20</v>
      </c>
      <c r="D78" s="1">
        <v>20</v>
      </c>
      <c r="E78" s="11" t="s">
        <v>139</v>
      </c>
      <c r="F78" s="11">
        <v>7</v>
      </c>
      <c r="G78" s="11" t="s">
        <v>110</v>
      </c>
      <c r="H78" s="11">
        <f>F78*D78</f>
        <v>140</v>
      </c>
    </row>
    <row r="79" spans="1:8" ht="30" x14ac:dyDescent="0.3">
      <c r="A79" s="5">
        <v>22</v>
      </c>
      <c r="B79" s="6" t="s">
        <v>83</v>
      </c>
      <c r="C79" s="7" t="s">
        <v>26</v>
      </c>
      <c r="D79" s="1">
        <v>20</v>
      </c>
    </row>
    <row r="80" spans="1:8" ht="15.6" customHeight="1" x14ac:dyDescent="0.3">
      <c r="A80" s="18">
        <v>23</v>
      </c>
      <c r="B80" s="14" t="s">
        <v>84</v>
      </c>
      <c r="C80" s="14" t="s">
        <v>20</v>
      </c>
      <c r="D80" s="16">
        <v>20</v>
      </c>
      <c r="E80" s="11" t="s">
        <v>137</v>
      </c>
      <c r="F80" s="11">
        <v>45.5</v>
      </c>
      <c r="G80" s="11" t="s">
        <v>110</v>
      </c>
      <c r="H80" s="11">
        <f>F80*D80</f>
        <v>910</v>
      </c>
    </row>
    <row r="81" spans="1:8" ht="15.6" customHeight="1" x14ac:dyDescent="0.3">
      <c r="A81" s="19"/>
      <c r="B81" s="15"/>
      <c r="C81" s="15"/>
      <c r="D81" s="17"/>
      <c r="E81" s="21" t="s">
        <v>138</v>
      </c>
      <c r="F81" s="11">
        <v>45.5</v>
      </c>
      <c r="G81" s="11" t="s">
        <v>110</v>
      </c>
      <c r="H81" s="11">
        <v>910</v>
      </c>
    </row>
    <row r="82" spans="1:8" ht="15.6" x14ac:dyDescent="0.3">
      <c r="A82" s="9">
        <v>24</v>
      </c>
      <c r="B82" s="6" t="s">
        <v>85</v>
      </c>
      <c r="C82" s="7" t="s">
        <v>20</v>
      </c>
      <c r="D82" s="1">
        <v>3</v>
      </c>
      <c r="E82" s="11" t="s">
        <v>136</v>
      </c>
      <c r="F82" s="11">
        <v>119.01</v>
      </c>
      <c r="G82" s="11" t="s">
        <v>110</v>
      </c>
      <c r="H82" s="11">
        <f>F82*D82</f>
        <v>357.03000000000003</v>
      </c>
    </row>
    <row r="83" spans="1:8" ht="30" x14ac:dyDescent="0.3">
      <c r="A83" s="9">
        <v>25</v>
      </c>
      <c r="B83" s="6" t="s">
        <v>86</v>
      </c>
      <c r="C83" s="7" t="s">
        <v>20</v>
      </c>
      <c r="D83" s="1">
        <v>3</v>
      </c>
      <c r="E83" s="10" t="s">
        <v>135</v>
      </c>
      <c r="F83" s="11">
        <v>283.5</v>
      </c>
      <c r="G83" s="11" t="s">
        <v>110</v>
      </c>
      <c r="H83" s="11">
        <f>F83*D83</f>
        <v>850.5</v>
      </c>
    </row>
    <row r="84" spans="1:8" ht="28.8" x14ac:dyDescent="0.3">
      <c r="A84" s="9">
        <v>26</v>
      </c>
      <c r="B84" s="6" t="s">
        <v>87</v>
      </c>
      <c r="C84" s="7" t="s">
        <v>20</v>
      </c>
      <c r="D84" s="1">
        <v>3</v>
      </c>
      <c r="E84" s="10" t="s">
        <v>117</v>
      </c>
      <c r="F84" s="11">
        <v>51.49</v>
      </c>
      <c r="G84" s="11" t="s">
        <v>110</v>
      </c>
      <c r="H84" s="11">
        <f>F84*D84</f>
        <v>154.47</v>
      </c>
    </row>
    <row r="85" spans="1:8" ht="28.8" x14ac:dyDescent="0.3">
      <c r="A85" s="9">
        <v>27</v>
      </c>
      <c r="B85" s="6" t="s">
        <v>88</v>
      </c>
      <c r="C85" s="7" t="s">
        <v>20</v>
      </c>
      <c r="D85" s="1">
        <v>3</v>
      </c>
      <c r="E85" s="10" t="s">
        <v>116</v>
      </c>
      <c r="F85" s="11">
        <v>68.12</v>
      </c>
      <c r="G85" s="11" t="s">
        <v>110</v>
      </c>
      <c r="H85" s="11">
        <f>F85*D85</f>
        <v>204.36</v>
      </c>
    </row>
    <row r="86" spans="1:8" ht="15.6" x14ac:dyDescent="0.3">
      <c r="A86" s="9">
        <v>28</v>
      </c>
      <c r="B86" s="6" t="s">
        <v>89</v>
      </c>
      <c r="C86" s="7" t="s">
        <v>20</v>
      </c>
      <c r="D86" s="1">
        <v>70</v>
      </c>
      <c r="E86" s="11" t="s">
        <v>134</v>
      </c>
      <c r="F86" s="11">
        <v>2.38</v>
      </c>
      <c r="G86" s="11" t="s">
        <v>110</v>
      </c>
      <c r="H86" s="11">
        <f>F86*D86</f>
        <v>166.6</v>
      </c>
    </row>
    <row r="87" spans="1:8" ht="15.6" x14ac:dyDescent="0.3">
      <c r="A87" s="9">
        <v>29</v>
      </c>
      <c r="B87" s="6" t="s">
        <v>90</v>
      </c>
      <c r="C87" s="7" t="s">
        <v>20</v>
      </c>
      <c r="D87" s="1">
        <v>3</v>
      </c>
      <c r="E87" s="11" t="s">
        <v>133</v>
      </c>
      <c r="F87" s="11">
        <v>6.64</v>
      </c>
      <c r="G87" s="11" t="s">
        <v>110</v>
      </c>
      <c r="H87" s="11">
        <f>F87*D87</f>
        <v>19.919999999999998</v>
      </c>
    </row>
    <row r="88" spans="1:8" ht="15.6" x14ac:dyDescent="0.3">
      <c r="A88" s="9">
        <v>30</v>
      </c>
      <c r="B88" s="6" t="s">
        <v>91</v>
      </c>
      <c r="C88" s="7" t="s">
        <v>20</v>
      </c>
      <c r="D88" s="1">
        <v>3</v>
      </c>
      <c r="E88" s="11" t="s">
        <v>132</v>
      </c>
      <c r="F88" s="11">
        <v>1941.42</v>
      </c>
      <c r="G88" s="11" t="s">
        <v>110</v>
      </c>
      <c r="H88" s="11">
        <f>F88*D88</f>
        <v>5824.26</v>
      </c>
    </row>
    <row r="89" spans="1:8" ht="15.6" x14ac:dyDescent="0.3">
      <c r="A89" s="9">
        <v>31</v>
      </c>
      <c r="B89" s="6" t="s">
        <v>92</v>
      </c>
      <c r="C89" s="7" t="s">
        <v>26</v>
      </c>
      <c r="D89" s="1">
        <v>3</v>
      </c>
      <c r="E89" s="11" t="s">
        <v>131</v>
      </c>
      <c r="F89" s="11">
        <v>374.66</v>
      </c>
      <c r="G89" s="11" t="s">
        <v>110</v>
      </c>
      <c r="H89" s="11">
        <f>F89*D89</f>
        <v>1123.98</v>
      </c>
    </row>
    <row r="90" spans="1:8" ht="15.6" x14ac:dyDescent="0.3">
      <c r="A90" s="5">
        <v>32</v>
      </c>
      <c r="B90" s="6" t="s">
        <v>93</v>
      </c>
      <c r="C90" s="7" t="s">
        <v>20</v>
      </c>
      <c r="D90" s="1">
        <v>1</v>
      </c>
    </row>
    <row r="91" spans="1:8" ht="15.6" x14ac:dyDescent="0.3">
      <c r="A91" s="5">
        <v>33</v>
      </c>
      <c r="B91" s="6" t="s">
        <v>94</v>
      </c>
      <c r="C91" s="7" t="s">
        <v>20</v>
      </c>
      <c r="D91" s="1">
        <v>1</v>
      </c>
    </row>
    <row r="92" spans="1:8" ht="15.6" x14ac:dyDescent="0.3">
      <c r="A92" s="9">
        <v>34</v>
      </c>
      <c r="B92" s="6" t="s">
        <v>95</v>
      </c>
      <c r="C92" s="7" t="s">
        <v>20</v>
      </c>
      <c r="D92" s="1">
        <v>6</v>
      </c>
      <c r="E92" s="11" t="s">
        <v>130</v>
      </c>
      <c r="F92" s="11">
        <v>430.81</v>
      </c>
      <c r="G92" s="11" t="s">
        <v>110</v>
      </c>
      <c r="H92" s="11">
        <f>F92*D92</f>
        <v>2584.86</v>
      </c>
    </row>
    <row r="93" spans="1:8" ht="43.2" x14ac:dyDescent="0.3">
      <c r="A93" s="9">
        <v>35</v>
      </c>
      <c r="B93" s="6" t="s">
        <v>96</v>
      </c>
      <c r="C93" s="7" t="s">
        <v>20</v>
      </c>
      <c r="D93" s="1">
        <v>1</v>
      </c>
      <c r="E93" s="10" t="s">
        <v>122</v>
      </c>
      <c r="F93" s="11">
        <v>480.01</v>
      </c>
      <c r="G93" s="11" t="s">
        <v>110</v>
      </c>
      <c r="H93" s="11">
        <f>F93*D93</f>
        <v>480.01</v>
      </c>
    </row>
    <row r="94" spans="1:8" ht="43.2" x14ac:dyDescent="0.3">
      <c r="A94" s="9">
        <v>36</v>
      </c>
      <c r="B94" s="6" t="s">
        <v>97</v>
      </c>
      <c r="C94" s="7" t="s">
        <v>20</v>
      </c>
      <c r="D94" s="1">
        <v>1</v>
      </c>
      <c r="E94" s="10" t="s">
        <v>122</v>
      </c>
      <c r="F94" s="11">
        <v>480.01</v>
      </c>
      <c r="G94" s="11" t="s">
        <v>110</v>
      </c>
      <c r="H94" s="11">
        <f>F94*D94</f>
        <v>480.01</v>
      </c>
    </row>
    <row r="95" spans="1:8" ht="30" x14ac:dyDescent="0.3">
      <c r="A95" s="5">
        <v>37</v>
      </c>
      <c r="B95" s="6" t="s">
        <v>98</v>
      </c>
      <c r="C95" s="7" t="s">
        <v>23</v>
      </c>
      <c r="D95" s="1">
        <v>1.4</v>
      </c>
    </row>
    <row r="96" spans="1:8" ht="15.6" x14ac:dyDescent="0.3">
      <c r="A96" s="9">
        <v>38</v>
      </c>
      <c r="B96" s="6" t="s">
        <v>99</v>
      </c>
      <c r="C96" s="7" t="s">
        <v>20</v>
      </c>
      <c r="D96" s="1">
        <v>140</v>
      </c>
      <c r="E96" s="11" t="s">
        <v>129</v>
      </c>
      <c r="F96" s="11">
        <v>0.12</v>
      </c>
      <c r="G96" s="11" t="s">
        <v>110</v>
      </c>
      <c r="H96" s="11">
        <f>F96*D96</f>
        <v>16.8</v>
      </c>
    </row>
    <row r="97" spans="1:8" ht="15.6" x14ac:dyDescent="0.3">
      <c r="A97" s="5">
        <v>39</v>
      </c>
      <c r="B97" s="6" t="s">
        <v>100</v>
      </c>
      <c r="C97" s="7" t="s">
        <v>20</v>
      </c>
      <c r="D97" s="1">
        <v>1</v>
      </c>
    </row>
    <row r="98" spans="1:8" ht="15.6" x14ac:dyDescent="0.3">
      <c r="A98" s="5">
        <v>40</v>
      </c>
      <c r="B98" s="6" t="s">
        <v>101</v>
      </c>
      <c r="C98" s="7" t="s">
        <v>20</v>
      </c>
      <c r="D98" s="1">
        <v>20</v>
      </c>
    </row>
    <row r="99" spans="1:8" ht="30" x14ac:dyDescent="0.3">
      <c r="A99" s="5">
        <v>41</v>
      </c>
      <c r="B99" s="6" t="s">
        <v>102</v>
      </c>
      <c r="C99" s="7" t="s">
        <v>29</v>
      </c>
      <c r="D99" s="1">
        <v>11.75</v>
      </c>
    </row>
    <row r="100" spans="1:8" ht="15.6" x14ac:dyDescent="0.3">
      <c r="A100" s="5">
        <v>42</v>
      </c>
      <c r="B100" s="6" t="s">
        <v>103</v>
      </c>
      <c r="C100" s="7" t="s">
        <v>32</v>
      </c>
      <c r="D100" s="1">
        <v>1175</v>
      </c>
    </row>
    <row r="101" spans="1:8" ht="30" x14ac:dyDescent="0.3">
      <c r="A101" s="5">
        <v>43</v>
      </c>
      <c r="B101" s="6" t="s">
        <v>104</v>
      </c>
      <c r="C101" s="7" t="s">
        <v>29</v>
      </c>
      <c r="D101" s="1">
        <v>49.8</v>
      </c>
    </row>
    <row r="102" spans="1:8" ht="15.6" x14ac:dyDescent="0.3">
      <c r="A102" s="5">
        <v>44</v>
      </c>
      <c r="B102" s="6" t="s">
        <v>105</v>
      </c>
      <c r="C102" s="7" t="s">
        <v>32</v>
      </c>
      <c r="D102" s="1">
        <v>4980</v>
      </c>
    </row>
    <row r="103" spans="1:8" ht="15.6" x14ac:dyDescent="0.3">
      <c r="A103" s="5">
        <v>45</v>
      </c>
      <c r="B103" s="6" t="s">
        <v>35</v>
      </c>
      <c r="C103" s="7" t="s">
        <v>29</v>
      </c>
      <c r="D103" s="8">
        <v>109.3</v>
      </c>
    </row>
    <row r="104" spans="1:8" ht="43.2" x14ac:dyDescent="0.3">
      <c r="A104" s="9">
        <v>46</v>
      </c>
      <c r="B104" s="6" t="s">
        <v>106</v>
      </c>
      <c r="C104" s="7" t="s">
        <v>32</v>
      </c>
      <c r="D104" s="1">
        <v>965</v>
      </c>
      <c r="E104" s="10" t="s">
        <v>128</v>
      </c>
      <c r="F104" s="11">
        <v>0.85</v>
      </c>
      <c r="G104" s="11" t="s">
        <v>110</v>
      </c>
      <c r="H104" s="11">
        <f>F104*D104</f>
        <v>820.25</v>
      </c>
    </row>
    <row r="105" spans="1:8" ht="28.8" x14ac:dyDescent="0.3">
      <c r="A105" s="9">
        <v>47</v>
      </c>
      <c r="B105" s="6" t="s">
        <v>126</v>
      </c>
      <c r="C105" s="7" t="s">
        <v>32</v>
      </c>
      <c r="D105" s="1">
        <v>2550</v>
      </c>
      <c r="E105" s="10" t="s">
        <v>109</v>
      </c>
      <c r="F105" s="11">
        <v>0.85</v>
      </c>
      <c r="G105" s="11" t="s">
        <v>110</v>
      </c>
      <c r="H105" s="11">
        <f>F105*D105</f>
        <v>2167.5</v>
      </c>
    </row>
    <row r="106" spans="1:8" ht="28.8" x14ac:dyDescent="0.3">
      <c r="A106" s="9">
        <v>48</v>
      </c>
      <c r="B106" s="6" t="s">
        <v>125</v>
      </c>
      <c r="C106" s="7" t="s">
        <v>32</v>
      </c>
      <c r="D106" s="1">
        <v>1350</v>
      </c>
      <c r="E106" s="10" t="s">
        <v>111</v>
      </c>
      <c r="F106" s="11">
        <v>1.31</v>
      </c>
      <c r="G106" s="11" t="s">
        <v>110</v>
      </c>
      <c r="H106" s="11">
        <f>F106*D106</f>
        <v>1768.5</v>
      </c>
    </row>
    <row r="107" spans="1:8" ht="28.8" x14ac:dyDescent="0.3">
      <c r="A107" s="9">
        <v>49</v>
      </c>
      <c r="B107" s="6" t="s">
        <v>107</v>
      </c>
      <c r="C107" s="7" t="s">
        <v>32</v>
      </c>
      <c r="D107" s="1">
        <v>1175</v>
      </c>
      <c r="E107" s="10" t="s">
        <v>127</v>
      </c>
      <c r="F107" s="11">
        <v>0.51</v>
      </c>
      <c r="G107" s="11" t="s">
        <v>110</v>
      </c>
      <c r="H107" s="11">
        <f>F107*D107</f>
        <v>599.25</v>
      </c>
    </row>
    <row r="108" spans="1:8" ht="15.6" x14ac:dyDescent="0.3">
      <c r="A108" s="5">
        <v>50</v>
      </c>
      <c r="B108" s="6" t="s">
        <v>108</v>
      </c>
      <c r="C108" s="7" t="s">
        <v>32</v>
      </c>
      <c r="D108" s="1">
        <v>4890</v>
      </c>
    </row>
    <row r="110" spans="1:8" ht="28.8" customHeight="1" x14ac:dyDescent="0.3">
      <c r="E110" s="22" t="s">
        <v>144</v>
      </c>
      <c r="F110" s="23"/>
      <c r="G110" s="24" t="s">
        <v>110</v>
      </c>
      <c r="H110" s="25">
        <f>H107+H106+H105+H104+H96+H94+H93+H92+H89+H88+H87+H86+H85+H84+H83+H82+H81+H80+H78+H75+H73+H71+H70+H69+H68+H55+H54+H51+H50+H49+H48+H45+H44+H42+H41+H40+H31+H30+H29+H28+H27+H26</f>
        <v>61569.250000000015</v>
      </c>
    </row>
  </sheetData>
  <mergeCells count="7">
    <mergeCell ref="D80:D81"/>
    <mergeCell ref="E110:F110"/>
    <mergeCell ref="A1:C1"/>
    <mergeCell ref="A56:C56"/>
    <mergeCell ref="B80:B81"/>
    <mergeCell ref="A80:A81"/>
    <mergeCell ref="C80:C81"/>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Zeyneb Alamova</cp:lastModifiedBy>
  <dcterms:created xsi:type="dcterms:W3CDTF">2015-06-05T18:17:20Z</dcterms:created>
  <dcterms:modified xsi:type="dcterms:W3CDTF">2026-04-02T09:11:50Z</dcterms:modified>
</cp:coreProperties>
</file>