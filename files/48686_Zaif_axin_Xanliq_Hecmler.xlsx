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ona.rahimli\Downloads\"/>
    </mc:Choice>
  </mc:AlternateContent>
  <xr:revisionPtr revIDLastSave="0" documentId="8_{D104EDBC-32EA-4D46-9393-9DD54251AE5D}" xr6:coauthVersionLast="47" xr6:coauthVersionMax="47" xr10:uidLastSave="{00000000-0000-0000-0000-000000000000}"/>
  <bookViews>
    <workbookView xWindow="-120" yWindow="-120" windowWidth="20730" windowHeight="11160" xr2:uid="{00000000-000D-0000-FFFF-FFFF00000000}"/>
  </bookViews>
  <sheets>
    <sheet name="Table 1" sheetId="1" r:id="rId1"/>
    <sheet name="ÜMUMİ HESABAT" sheetId="2" r:id="rId2"/>
    <sheet name="Лист1" sheetId="3" r:id="rId3"/>
  </sheets>
  <definedNames>
    <definedName name="_xlnm._FilterDatabase" localSheetId="0" hidden="1">'Table 1'!$A$4:$H$241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3" l="1"/>
  <c r="D15" i="3"/>
  <c r="D12" i="3"/>
  <c r="D23" i="3"/>
  <c r="D13" i="3"/>
  <c r="D10" i="3"/>
  <c r="D14" i="3"/>
  <c r="D9" i="3"/>
  <c r="D7" i="3"/>
  <c r="D8" i="3"/>
  <c r="D20" i="3"/>
  <c r="D19" i="3"/>
  <c r="D22" i="3"/>
  <c r="D21" i="3"/>
  <c r="G9" i="1"/>
  <c r="G10" i="1"/>
  <c r="G11" i="1"/>
  <c r="G12" i="1"/>
  <c r="G13" i="1"/>
  <c r="G14" i="1"/>
  <c r="G15" i="1"/>
  <c r="G16" i="1"/>
  <c r="G17" i="1"/>
  <c r="G18" i="1"/>
  <c r="G19" i="1"/>
  <c r="G20" i="1"/>
  <c r="G21" i="1"/>
  <c r="G22" i="1"/>
  <c r="G23" i="1"/>
  <c r="G24"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1" i="1"/>
  <c r="G162" i="1"/>
  <c r="G163" i="1"/>
  <c r="G164" i="1"/>
  <c r="G165" i="1"/>
  <c r="G166" i="1"/>
  <c r="G167" i="1"/>
  <c r="G168" i="1"/>
  <c r="G169" i="1"/>
  <c r="G170" i="1"/>
  <c r="G171" i="1"/>
  <c r="G172" i="1"/>
  <c r="G173" i="1"/>
  <c r="G174" i="1"/>
  <c r="G175" i="1"/>
  <c r="G176" i="1"/>
  <c r="G177" i="1"/>
  <c r="G178" i="1"/>
  <c r="G179" i="1"/>
  <c r="G180" i="1"/>
  <c r="G181" i="1"/>
  <c r="G182"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3" i="1"/>
  <c r="G224" i="1"/>
  <c r="G225" i="1"/>
  <c r="G226" i="1"/>
  <c r="G227" i="1"/>
  <c r="G228" i="1"/>
  <c r="G229" i="1"/>
  <c r="G230" i="1"/>
  <c r="G231" i="1"/>
  <c r="G232" i="1"/>
  <c r="G233" i="1"/>
  <c r="G234" i="1"/>
  <c r="G235" i="1"/>
  <c r="G236" i="1"/>
  <c r="G237" i="1"/>
  <c r="G238" i="1"/>
  <c r="G239" i="1" l="1"/>
  <c r="G240" i="1" s="1"/>
  <c r="G241" i="1" s="1"/>
</calcChain>
</file>

<file path=xl/sharedStrings.xml><?xml version="1.0" encoding="utf-8"?>
<sst xmlns="http://schemas.openxmlformats.org/spreadsheetml/2006/main" count="767" uniqueCount="241">
  <si>
    <t>Sıra №</t>
  </si>
  <si>
    <t>İşlərin və xərclərin adı</t>
  </si>
  <si>
    <t>Ölçü vahidi</t>
  </si>
  <si>
    <t>Miqdarı</t>
  </si>
  <si>
    <t>Eni 2 m-ə qədər, dərinliyi 2 m-ə qədər olan xəndəklərdə qruntun bərkitmələr tətbiq etməklə əl ilə qazılması,
qruntun qrupu: 2</t>
  </si>
  <si>
    <t>t</t>
  </si>
  <si>
    <t>m3</t>
  </si>
  <si>
    <t>ton</t>
  </si>
  <si>
    <t>ədəd</t>
  </si>
  <si>
    <t>m</t>
  </si>
  <si>
    <t>m2</t>
  </si>
  <si>
    <t>kq</t>
  </si>
  <si>
    <t>Mikrofon rozetkası
(Telefon rozetkası)</t>
  </si>
  <si>
    <t>Mikrofon rozetkası
(Televiziya rozetkası)</t>
  </si>
  <si>
    <t>Çəkilmiş boru, blok və qutularda 35 kV-a qədər kabel, 1 m kabelin kütləsi, kq, qədər:1 (Kabellərin borularda çəkilməsi)</t>
  </si>
  <si>
    <t>Telefon rozetkası RJ-11 , (Telefon rozetkası RJ-12)</t>
  </si>
  <si>
    <t>TV yuvalı rozetkası, Modul tipli,  peyk anten gümüşü</t>
  </si>
  <si>
    <t>Ştepsel ayırıcı, ekranlı cütlüklü kabelin hazırlanması və qoşulması, tutumu: 5x2 (İnternet rozetkası)</t>
  </si>
  <si>
    <t>Şəbəkə rozetkası 2li RJ45 CAT6 UTP (İnternet rozetkası RJ-45)</t>
  </si>
  <si>
    <t>Çıxarılan və qabağa çıxan bloklar (modullar, yuvacıqlar)  kütləsi: 5 kq–a qədər (Telekommunikasiya qutusunda yerləşən modem)</t>
  </si>
  <si>
    <t>Rabitə və internet şəbəkəsi üçün WIFI modem rotoru (Modem GPON Router)</t>
  </si>
  <si>
    <t>Asma idarəetmə şkafı (pult), hündürlüyü, eni və dərinliyi, mm, qədər:600 x 600 x 350 (Plastik telekommunikasiya qutusunun divarda quraşdırılması)</t>
  </si>
  <si>
    <t>Şkaf tipli plastik lövhə, mühafizə dərəcəsi İP20 250x320x108 mm (Telekommunikasiya qutusu. plastik)</t>
  </si>
  <si>
    <t>Quraşdırılmış konstruksiyalar, divarlar, sütunlar, tavanlar, döşəmənin əsası üzrə kabel və naqilləri qorumaq üçün qırçınlı PVX boruları (Plastik qofra boruların divarda çəkilməsi. diametri: 20 mm)</t>
  </si>
  <si>
    <t xml:space="preserve">Telefon, LAN, koaksial kabel U/UTP Cat 6-HF 4х2х0,57 </t>
  </si>
  <si>
    <t>Telefon, LAN, koaksial kabel RG 6/U-6</t>
  </si>
  <si>
    <t>PVC büzməli kabel boru D=20 (20-K41-100I) (HFFR qofra boru d=20mm)</t>
  </si>
  <si>
    <t>Çınqıl</t>
  </si>
  <si>
    <t>Xəndəklərin, çalaların və çuxurların əl ilə doldurulması, qruntun
qrupu: 1</t>
  </si>
  <si>
    <t>Telefon, LAN, koaksial
kabel RG 6/U-6</t>
  </si>
  <si>
    <t>Çəkilmiş boru, blok və qutularda 35 kV-a qədər kabel, 1 m kabelin kütləsi, kq, qədər:1 (Kabellərin borularda
çəkilməsi)</t>
  </si>
  <si>
    <t>Quraşdırılmış konstruksiyalar üzrə viniplast boru, bəndlərlərlə divar və sütunlar üzrə bərkitməklə, diametri, mm, qədər: 25 (Plastik boruların divarda çəkilməsi, diametri: 20
mm)</t>
  </si>
  <si>
    <t>Quraşdırılmış konstruksiyalar üzrə viniplast boru, tavanlar üzrə, diametri, mm, qədər: 50 (Plastik boruların tavanda çəkilməsi, diametri: 20
mm)</t>
  </si>
  <si>
    <t>Akkumlyator, 12V7A/ч</t>
  </si>
  <si>
    <t>Turşulu stasionar akkumulyator, tip:S-1, SK-1 (Akkumulyator 12V
7A)</t>
  </si>
  <si>
    <t>Səsucaldan yaxud səs
«kolonkası»: yerləşkələrdə (Yanğın səs xəbərvericisi - siqnallı sirena )</t>
  </si>
  <si>
    <t>İdarəetmə və siqnalizasiya aparatı (düymə, idarəetmə açarı, elektrik-maqnit blokirovka qıfılı, səs siqnalı, siqnal lampası), qoşulma sonluqlarının sayı, qədər: 2 (Əl ilə işləyən yanğın
xəbərvericisi )</t>
  </si>
  <si>
    <t>Avtomatik PS bildiriciləri: normal icrada tüstü, fotoelektrik, radioizotop, işıq (Tüstülü yanğın
xəbərvericisi )</t>
  </si>
  <si>
    <t xml:space="preserve">Yanğın siqnalizasiya sistemi üçün,yanğndan mühafizə sistemi (Qəbuledici nəzarət yanğın siqnalı cihazı: 4 şüalı  </t>
  </si>
  <si>
    <t>PS cihazı: 4 şualı (Qəbuledici nəzarət yanğın siqnalı cihazı: 4
şüalı )</t>
  </si>
  <si>
    <t>4 mərtəbəli çoxmənzilli yaşayış binası. Yanğın siqnalizasiya sistemi</t>
  </si>
  <si>
    <t>Yüksək elastikliyə, geniş diapazonlu təzyiqə malik, AZS 806-2-2014 EN
12201-2 standartlarına cavab verən polietilen su və qaz borusu: diametri 20 mm, divarının qalınlığı 3 mm, PE 100, PN 25
(Polietilen boru d=20mm)</t>
  </si>
  <si>
    <t>Telefon, LAN, koaksial kabel F/UTP Cat 6-PVC
4х2х0,57</t>
  </si>
  <si>
    <t>1 m-nin kütləsi 1 kq-a qədər olan kabellərin çəkilməsi, divarboyu:
kərpic (şaxtada)</t>
  </si>
  <si>
    <t>1 m-nin kütləsi 1 kq-a qədər olan kabellərin çəkilməsi, divarboyu:
beton (tavanda zirzəmidə)</t>
  </si>
  <si>
    <t>1 m-nin kütləsi 1 kq-a qədər olan kabellərin çəkilməsi, divarboyu:
kərpic (zirzəmidə)</t>
  </si>
  <si>
    <t>Çəkilmiş boru, blok və qutularda 35 kV-a qədər kabel, 1 m kabelin kütləsi,
kq, qədər:1</t>
  </si>
  <si>
    <t>Quraşdırılmış konstruksiyalar üzrə viniplast boru, tavanlar üzrə, diametri, mm, qədər: 50 (Polietilen boruların tavanda çəkilməsi, diametri: 20
mm)</t>
  </si>
  <si>
    <t>Quraşdırılmış konstruksiyalar üzrə viniplast boru, bəndlərlərlə divar və sütunlar üzrə bərkitməklə, diametri, mm, qədər: 25 (Polietilen boruların divarda çəkilməsi, diametri: 20
mm)</t>
  </si>
  <si>
    <t>İdarəetmə və siqnalizasiya aparatı (düymə, idarəetmə açarı, elektrik-maqnit blokirovka qıfılı, səs siqnalı, siqnal lampası), qoşulma sonluqlarının sayı, qədər: 2 (Audiodomofon üçün
açar)</t>
  </si>
  <si>
    <t>SB sistemli yaxud ATS telefon aparatı: divardan asılan (Audiodomofon
üçün telefon)</t>
  </si>
  <si>
    <t>Çıxarılan və qabağa çıxan bloklar (modullar, yuvacıqlar,  ), kütləsi: 5 kq–a qədər (Telekommunikasiya rəf dolabında yerləşən
komunikasiya bloku)</t>
  </si>
  <si>
    <t>Çıxış düyməsi sensorlu
və ya düyməli çıxış düyməsi (Çıxış düyməsi)</t>
  </si>
  <si>
    <t>Domofonun
quraşdırılması</t>
  </si>
  <si>
    <t>Çıxış düyməsi sensorlu və ya düyməli çıxış
düyməsi (Çıxış düyməsi)</t>
  </si>
  <si>
    <t xml:space="preserve">Elektroqıfıl (Elektrik
maqnit qıfıl  </t>
  </si>
  <si>
    <t xml:space="preserve">Mənzil giriş domofon aparatı (Çağırış bloku
 </t>
  </si>
  <si>
    <t>4 mərtəbəli, çoxmənzilli yaşayış binası. Domofon şəbəkəsi</t>
  </si>
  <si>
    <t>Çəkilmiş boru, blok və qutularda 35 kV-a qədər kabel, 1 m kabelin kütləsi, kq, qədər:1 (Kabellərin
borularda çəkilməsi )</t>
  </si>
  <si>
    <t>Quraşdırılmış konstruksiyalar üzrə viniplast boru, bəndlərlərlə divar və sütunlar üzrə bərkitməklə, diametri, mm, qədər: 25 (Polietilen boruların divarda çəkilməsi,
diametri: 20 mm)</t>
  </si>
  <si>
    <t>Çıxarılan və qabağa çıxan bloklar (modullar, yuvacıqlar,  ), kütləsi: 5 kq–a qədər (Telekommunikasiya rəf dolabında yerləşən
yaddaş idarə bloku)</t>
  </si>
  <si>
    <t>Elektrik üsulu ilə yoxlanılması və nizamlanması: müxtəlif platalar (Sərt disklərin formatlaşdırılması,
konfiqurasiyası və təhlili)</t>
  </si>
  <si>
    <t>Lövhə oyuqda sərbəst bərkidilməklə yerləşdirilmiş rele ilə plata (Videoqeydiyyat
cihazı üçün sərt disk )</t>
  </si>
  <si>
    <t>Birləşdirmə modulu
SWITCH-4</t>
  </si>
  <si>
    <t>Videonəzarət qurğusu
(Monitor 32")</t>
  </si>
  <si>
    <t xml:space="preserve">İP videokamera(xarici)  </t>
  </si>
  <si>
    <t>Videomüşahidə
kameraları: kronşteynlərdə</t>
  </si>
  <si>
    <t>Videomüşahidə
kameraları: fiksajlanmış</t>
  </si>
  <si>
    <t>4 mərtəbəli, çoxmənzilli yaşayış binası. Videomüşahidə</t>
  </si>
  <si>
    <t>Özü sönən PVX (IP55) - dən sərt hamar yüngül borular, diametri 20 mm
(PVX boru d=20 mm)</t>
  </si>
  <si>
    <t xml:space="preserve">  Naqil üçün Qırçınlı PLASTİK SPİRAL Boru (QARA d= 20mm) t- 50m (HFFR plastik qofra
boru d=20 mm)</t>
  </si>
  <si>
    <t xml:space="preserve">Fiber Optik Drop Kabel, 2 lifli  </t>
  </si>
  <si>
    <t>Telefon, LAN, koaksial
kabel F/UTP Cat 6-PVC 4х2х0,57</t>
  </si>
  <si>
    <t>1 m-nin kütləsi 1 kq-a qədər olan kabellərin çəkilməsi, divarboyu:
kərpic</t>
  </si>
  <si>
    <t>Quraşdırılmış konstruksiyalar, divarlar, sütunlar, tavanlar, döşəmənin əsası üzrə kabel və naqilləri qorumaq üçün qırçınlı PVX boruları (Plastik qofra boruların döşəmədə çəkilməsi,
diametri: 20 mm)</t>
  </si>
  <si>
    <t>Quraşdırılmış konstruksiyalar, divarlar, sütunlar, tavanlar, döşəmənin əsası üzrə kabel və naqilləri qorumaq üçün qırçınlı PVX boruları (Plastik qofra boruların divarda çəkilməsi, diametri: 20
mm)</t>
  </si>
  <si>
    <t>Quraşdırılmış konstruksiyalar üzrə viniplast boru, döşəmənin əsası üzrə, diametri, mm, qədər: 25 (PVX boruların döşəmədə çəkilməsi, diametri: 20
mm)</t>
  </si>
  <si>
    <t>Quraşdırılmış konstruksiyalar üzrə viniplast boru, tavanlar üzrə, diametri, mm, qədər: 50 (PVX boruların tavanda çəkilməsi,
diametri: 20 mm)</t>
  </si>
  <si>
    <t>Quraşdırılmış konstruksiyalar üzrə viniplast boru, bəndlərlərlə divar və sütunlar üzrə bərkitməklə, diametri, mm, qədər: 25 (PVX boruların divarda çəkilməsi, diametri: 20
mm)</t>
  </si>
  <si>
    <t>Quraşdırılmış konstruksiyalar üzrə viniplast boru, bəndlərlərlə divar və sütunlar üzrə bərkitməklə, diametri, mm, qədər: 25 (PVX boruların şaxtada çəkilməsi, diametri: 20
mm)</t>
  </si>
  <si>
    <t>Quraşdırılmış konstruksiyalar üzrə viniplast boru, bəndlərlərlə divar və sütunlar üzrə bərkitməklə, diametri, mm, qədər: 50 (PVX boruların şaxtada çəkilməsi, diametri: 50
mm)</t>
  </si>
  <si>
    <t>Quraşdırılmış konstruksiyalar üzrə viniplast boru, tavanlar üzrə, diametri, mm, qədər: 50 (PVX boruların tavanda çəkilməsi,
diametri: 50 mm)</t>
  </si>
  <si>
    <t>Dayaq, yarımdayaq, dayaqların yaxud şkafların karkası, kütləsi, kq: 100-ə qədər (19" 42U telekommunikasiya rəf dolabın döşəməüstü
quraşdırılması)</t>
  </si>
  <si>
    <t>Çıxarılan və qabağa çıxan bloklar (modullar, yuvacıqlar, TEZ), kütləsi: 5 kq–a qədər (Optik
modul )</t>
  </si>
  <si>
    <t>Rabitə və internet şəbəkəsi üçün WIFI modem (Abunəçi
modem)</t>
  </si>
  <si>
    <t>Lövhə oyuqda sərbəst bərkidilməklə yerləşdirilmiş rele ilə
plata (Abunəçi modem)</t>
  </si>
  <si>
    <t>Splitterli optik paylayıcı qutu (Optik paylayıcı
qutu 1x2)</t>
  </si>
  <si>
    <t>yeşik</t>
  </si>
  <si>
    <t>Plastmas örtüklü kabeldə divar paylayıcı qutusu.
(1x2 Optik paylayıcı qutu)</t>
  </si>
  <si>
    <t>Optik paylayıcı qutu (OPQ) 1x16 splitterli çöl tipli (Optik paylayıcı qutu
1x16)</t>
  </si>
  <si>
    <t>Plastmas örtüklü kabeldə divar paylayıcı qutusu. (1x16 Optik paylayıcı
qutu)</t>
  </si>
  <si>
    <t>Ştepsel ayırıcı, ekranlı cütlüklü kabelin hazırlanması və qoşulması, tutumu: 5x2
(Kompüter rozetkası)</t>
  </si>
  <si>
    <t>Köməkçi materiallar:Dairəvi polad
8-В ГОСТ2590-2006</t>
  </si>
  <si>
    <t>Tikinti əsasları üzrə açıq yerlə birləşdirən ötürücü, dairəvi poladdan,
diametri, mm:8 (damda)</t>
  </si>
  <si>
    <t>Tikinti əsasları üzrə açıq yerlə birləşdirən ötürücü, dairəvi poladdan,
diametri, mm:8</t>
  </si>
  <si>
    <t>Üfüqi yerlə birləşdirici:zolaq şəkilli poladdan, en kəsiyi 160 mm2 (40x4 mm2
xəndəkdə)</t>
  </si>
  <si>
    <t>Dairəvi polad, 12mm
ГОСТ 19903-74</t>
  </si>
  <si>
    <t>Dairəvi poladdan şaquli
yerlə birləşdirici, diametri, mm:12 (L=3 m)</t>
  </si>
  <si>
    <t>Telefon, LAN, koaksial kabel RG 213 U (Televiziya koaksial
kabeli RG-11)</t>
  </si>
  <si>
    <t>Hazır boşluqlara metal qapı bloklarının qurulması (40x30 sm metal qapı bloklarının
şaxtada qurulması)</t>
  </si>
  <si>
    <t>1 m-nin kütləsi 1 kq-a qədər olan kabellərin çəkilməsi, divarboyu:
beton (damda)</t>
  </si>
  <si>
    <t>Mikrofon rozetkası
(Televiziya rozetkası )</t>
  </si>
  <si>
    <t>Birləşdirici yaxud şaxəli kabel qutusu (Televiziya
ayırıcı qutu )</t>
  </si>
  <si>
    <t>Plastmas örtüklü kabeldə
divar paylayıcı qutusu. (Televiziya multisviçi )</t>
  </si>
  <si>
    <t>Ayrı-ayrı quraşdırılan: dupleks yaxud abonent gücləndirici (Xətti
telegücləndirici )</t>
  </si>
  <si>
    <t>Ayrı-ayrı quraşdırılan: dupleks yaxud abonent gücləndirici (Çoxkanallı
telegücləndirici )</t>
  </si>
  <si>
    <t>antena</t>
  </si>
  <si>
    <t>Q – şəkilli antenna (Damda antenna dayağında quraşdırılan kollektiv qəbuledici
televiziya antennası )</t>
  </si>
  <si>
    <t>Antenna dayağı MT-5</t>
  </si>
  <si>
    <t>Antenalar üçün metal konstruksiyalar (Damda quraşdırılan televiziya
antenna dayağı H=5 m )</t>
  </si>
  <si>
    <t>Çıxarılan və qabağa çıxan bloklar (modullar, yuvacıqlar,  ), kütləsi: 5 kq–a qədər (Optik
modul )</t>
  </si>
  <si>
    <t>Dairəvi poladdan şaquli yerlə birləşdirici,
diametri, mm:12 (L=3 m)</t>
  </si>
  <si>
    <t>Yüksək elastikliyə, geniş diapazonlu təzyiqə malik, AZS 806-2-2014 EN
12201-2 standartlarına cavab verən polietilen su və qaz borusu: diametri 50 mm, divarının qalınlığı 3 mm, PE 100, PN 10
 (PVC
boru d=50mm)</t>
  </si>
  <si>
    <t>Qaldırıcı qurğuları quraşdırmaqla, hündülüyü 50 m-ə qədər olan qurulmuş qüllədə (dirəkdə) parabolik qəbuledici- ötürücü antenalar, antenaların
diametri: 1,8 m-ə qədər</t>
  </si>
  <si>
    <t>4 mərtəbəli, çoxmənzilli yaşayış binası. Rabitə şəbəkələri</t>
  </si>
  <si>
    <t xml:space="preserve"> Naqil üçün Qırçınlı PLASTİK SPİRAL Boru (QARA d= 20mm) t-
50m</t>
  </si>
  <si>
    <t xml:space="preserve">Tüstü xəbər verici IP 212- 141tüstü detektoru müxtəlif bina və tikililərin qapalı otaqlarında idarə olunan məkan daxilində aşağı konsentrasiyalı tüstü görünüşü ilə müşayiət olunan yanğınları aşkar etmək və yanğın nəzarət paneline informasiya ötürülməsini təşkil edir (Tüstülü yanğın xəbərvericisi 
 </t>
  </si>
  <si>
    <t>Çıxarılan və qabağa çıxan bloklar (modullar, yuvacıqlar,  ), kütləsi: 5 kq–a qədər (Telekommunikasiya rəf dolabında yerləşən 4 port PoE SWITCH kommutator
)</t>
  </si>
  <si>
    <t>Çıxarılan və qabağa çıxan bloklar (modullar, yuvacıqlar,  ), kütləsi: 5 kq–a qədər (Telekommunikasiya rəf dolabında yerləşən 8 kanallı İP videoqeydiyyat
cihazı)</t>
  </si>
  <si>
    <t>İnformasiya rozetkası -2 modul,   (Kompüter rozetkası RJ-
45)</t>
  </si>
  <si>
    <t>Fövqaladə hallarda anons sistemi üçün idarəetmə gücləndiricisi  (Xətti
telegücləndirici )</t>
  </si>
  <si>
    <t>Çıxarılan və qabağa çıxan bloklar (modullar, yuvacıqlar, ), kütləsi: 5 kq–a qədər (Telekommunikasiya rəf dolabında yerləşən
komunikasiya bloku)</t>
  </si>
  <si>
    <t xml:space="preserve">Fövqaladə hallarda anons sistemi üçün idarəetmə gücləndiricisi  (Xətti
telegücləndirici </t>
  </si>
  <si>
    <t>Yaddaş kartı 1Gb SD CARD  (Yaddaş idarə
bloku)</t>
  </si>
  <si>
    <t xml:space="preserve">Monitor 32 dioqonallı,ölçüləri 744x443x59 mm  (Video monitor 31,5"
 </t>
  </si>
  <si>
    <t xml:space="preserve">Splitter 4 Tv  (Televiziya ayırıcı qutu
 </t>
  </si>
  <si>
    <t>Telefon, LAN, koaksial kabel F/UTP Cat 6-HF
4х2х0,57 (FTP cat.6)</t>
  </si>
  <si>
    <t xml:space="preserve">300/500V telefon, LAN,
koaksial kabeli L </t>
  </si>
  <si>
    <t xml:space="preserve">Yanğın siqnalizasiya sistemi üçün, işıq- səsxəbərvericisin  (Yanğın
səs xəbərvericisi - siqnallı sirena </t>
  </si>
  <si>
    <t xml:space="preserve">Əl ilə işləyən RC-100 Yanğın xəbərverici- İnteqrasiya edilmiş izolyasiya sxemi ilə təchiz edilmişdirüc:10- 40V Orta enerji istehlakı70μA, LED6mA(24Vline) enerji istehlakı İşləmə temperaturu: - 20C ° + 65C °, Maksimum rütubət: 95% kondensasiya olmadan, Ölçülər: 87x87x23 mm • (Əl ilə işləyən yanğın xəbərvericisi  </t>
  </si>
  <si>
    <t xml:space="preserve">Elektrik açarları, Modul tipli,  </t>
  </si>
  <si>
    <t>Telefon apparatl simli,  
(Audiodomofon üçün telefon trubkası  -12)</t>
  </si>
  <si>
    <t xml:space="preserve">Elektrik açarları, Modul tipli  QARA  (Açar  </t>
  </si>
  <si>
    <t xml:space="preserve">Telefon apparatl simli, 
(Audiodomofon üçün telefon trubkası </t>
  </si>
  <si>
    <t xml:space="preserve">Yüksək elastikliyə, geniş diapazonlu təzyiqə malik, AZS 806-2-2014 EN
12201-2 standartlarına cavab verən polietilen su və qaz borusu: diametri 20 mm, divarının qalınlığı 3 mm, PE 100, PN 25
  (Polietilen boru d=20 mm
 </t>
  </si>
  <si>
    <t>Videoqeydiyyat cihazi üçün disk HDD 4 Tb WD     (Sərt disk
3TB)</t>
  </si>
  <si>
    <t xml:space="preserve">Videoregistrator  
4-Kanal (İP videogeydiyyat cihazı 4
girişli </t>
  </si>
  <si>
    <t xml:space="preserve">  üçün Qırçınlı PLASTİK SPİRAL Boru (QARA d= 20mm) t- 50m (HFFR plastik qofra
boru d=20 mm)</t>
  </si>
  <si>
    <t xml:space="preserve">İP servis otağı üçün metal şkaf, 42U W=600mm D=600mm
Free Standing  Network Cabinet 600x600x2053 </t>
  </si>
  <si>
    <t>Optik ötürücü modul SFP   1G (20km)  
(Optik modul)</t>
  </si>
  <si>
    <t>Telefon yuvalı rozetka,  
00 100 130 CAT5 KREM  (Telefon rozetkası RJ-12)</t>
  </si>
  <si>
    <t xml:space="preserve">Fövqaladə hallarda anons sistemi üçün idarəetmə gücləndiricisi   (Çox kanallı
telegücləndiric </t>
  </si>
  <si>
    <t>Antenn (Teleantenna VHF/UHF)</t>
  </si>
  <si>
    <t xml:space="preserve">Speca antena və ya alternativi </t>
  </si>
  <si>
    <t>Telefon yuvalı rozetka, 
00 100 130 CAT5 KREM   (Telefon rozetkası RJ-12)</t>
  </si>
  <si>
    <t>Yüksək elastikliyə, geniş diapazonlu təzyiqə malik, AZS 806-2-2014 EN
12201-2 standartlarına cavab verən polietilen su və qaz borusu: diametri 50 mm, divarının qalınlığı 3 mm, PE 100, PN 10 (PVCboru d=50mm)</t>
  </si>
  <si>
    <t xml:space="preserve">   
(Teleantenna VHF/UHF)</t>
  </si>
  <si>
    <t>Speca antena  və ya ekvivalenti</t>
  </si>
  <si>
    <t>Transformator məntəqələrinin 35 kV-luq qidalandırıcı kabel xətləri</t>
  </si>
  <si>
    <t>Kərpic</t>
  </si>
  <si>
    <t>Xarici rabitə şəbəkələri</t>
  </si>
  <si>
    <t>Sahədaxili qaz xətti</t>
  </si>
  <si>
    <t>0,4 kV-luq sahədaxili kabel elektrik təchizatı</t>
  </si>
  <si>
    <t>Su təchizatının xarici şəbəkələri</t>
  </si>
  <si>
    <t>Qubadlı rayonu, Xanlıq kənd yaşayış məntəqəsində fərdi yaşayış evləri, çoxmənzilli binalar  və mühəndis kommunikasiya sistemlərinin tikinti-quraşdırma işləri</t>
  </si>
  <si>
    <t>Antenna dayağı</t>
  </si>
  <si>
    <t xml:space="preserve">Fövqaladə hallarda anons sistemi üçün idarəetmə gücləndiricisi (Çox kanallı
telegücləndiric </t>
  </si>
  <si>
    <t>Multi switch 2x5 2 giriş 5 çıxışlı multisviç ()</t>
  </si>
  <si>
    <t xml:space="preserve">Splitter 4
(Televiziya ayırıcı qutu  </t>
  </si>
  <si>
    <t>TV yuvalı rozetkası, Modul tipli,  PEYK ANTEN  
GÜMÜŞÜ  (Televiziya rozetkası)</t>
  </si>
  <si>
    <t xml:space="preserve"> Naqil üçün Qırçınlı PLASTİK SPİRAL Boru (QARA d= 20mm) t- 50m (plastik qofra
boru d=20 mm)</t>
  </si>
  <si>
    <t xml:space="preserve">Zolaq 4x40
 </t>
  </si>
  <si>
    <t>Optik ötürücü modul 1G (20km) TX 1310NM/RX 1550NM
(Optik modul)</t>
  </si>
  <si>
    <t>Multi switch 2x5 2 giriş 5
çıxışlı multisviç ()</t>
  </si>
  <si>
    <t>TV yuvalı rozetkası, Modul tipli,  PEYK ANTEN 
GÜMÜŞÜ ) (Televiziya rozetkası)</t>
  </si>
  <si>
    <t xml:space="preserve">  Naqil üçün Qırçınlı PLASTİK SPİRAL Boru (QARA d= 20mm) t- 50m (plastik qofra
boru d=20 mm)</t>
  </si>
  <si>
    <t>Kommutasiya cihazı (Kommutasiya bloku)</t>
  </si>
  <si>
    <t>Telefon, LAN, koaksial
kabel 2x2x0,8</t>
  </si>
  <si>
    <t>Kommutasiya cihazı () (Kommutasiya bloku)</t>
  </si>
  <si>
    <t>Optik kabel   1x4FO (4kN)
(Fiber optik kabel FO-4)</t>
  </si>
  <si>
    <t>Optik kabel    1x4FO (4kN)
(Fiber optik kabel FO-4)</t>
  </si>
  <si>
    <t>Optik kabel  ) 1x6FO (4kN)
(Fiber optik kabel FO-6)</t>
  </si>
  <si>
    <t>CƏMİ:</t>
  </si>
  <si>
    <t>Cəmi</t>
  </si>
  <si>
    <t>Əlavə dəyər vergisi (ƏDV) (18%)</t>
  </si>
  <si>
    <t>Ümumi yekun (ƏDV daxil olmaqla)</t>
  </si>
  <si>
    <t>Qubadlı rayonu, Xanlıq kənd yaşayış məntəqəsinin salınmasının tikinti layihəsi</t>
  </si>
  <si>
    <t xml:space="preserve">Tender Hesabatı (Fərdi yaşayış və kommunikasiya) </t>
  </si>
  <si>
    <t>Sıra sayı</t>
  </si>
  <si>
    <t>İşlərin, xərclərin adı və mahiyyəti</t>
  </si>
  <si>
    <t>3 otaqlı fərdi yaşayış evi (240 ədəd)</t>
  </si>
  <si>
    <t>4 otaqlı fərdi yaşayış evi (100 ədəd)</t>
  </si>
  <si>
    <t>5 otaqlı fərdi yaşayış evi (15 ədəd)</t>
  </si>
  <si>
    <t>4 mərtəbəli çoxmənzilli yaşayış binaları</t>
  </si>
  <si>
    <t>Transformator y/s PTM-KTM9-12</t>
  </si>
  <si>
    <t>Transformator y/s PTM-KTM8-11 (SEİ)</t>
  </si>
  <si>
    <t>Sahəxarici təsərrüfat kanalizasiyası</t>
  </si>
  <si>
    <t>Təsərrüfat keçidi</t>
  </si>
  <si>
    <t>Yollar</t>
  </si>
  <si>
    <t>Metal tor hasar (fərdi yaşayış evləri üçün)</t>
  </si>
  <si>
    <t>Səkilər</t>
  </si>
  <si>
    <t>Yaşıllaşdırma</t>
  </si>
  <si>
    <t>Şaquli planlaşdırma</t>
  </si>
  <si>
    <t>Cəmi:</t>
  </si>
  <si>
    <t>Müvəqqəti bina və qurğular- 1,1%</t>
  </si>
  <si>
    <t>Nəzərdə tutulmayan xərclər-2%</t>
  </si>
  <si>
    <t>Əlavə dəyər vergisi-18%</t>
  </si>
  <si>
    <t>YEKUN:</t>
  </si>
  <si>
    <t>Vahidin qiyməti</t>
  </si>
  <si>
    <t>Cəmi AZN</t>
  </si>
  <si>
    <t xml:space="preserve">Materialın adı </t>
  </si>
  <si>
    <t>Beton B7,5</t>
  </si>
  <si>
    <t>Armatur</t>
  </si>
  <si>
    <t>Mişar daşı (kubik)</t>
  </si>
  <si>
    <t>Sement-qum məhlulu</t>
  </si>
  <si>
    <t>Bitum</t>
  </si>
  <si>
    <t>Mastika</t>
  </si>
  <si>
    <t>Beton B25</t>
  </si>
  <si>
    <t>Taxta</t>
  </si>
  <si>
    <t>Elektrod</t>
  </si>
  <si>
    <t>Mismar</t>
  </si>
  <si>
    <t>Taxta qəlib</t>
  </si>
  <si>
    <t>Beton B15</t>
  </si>
  <si>
    <t>Katinka</t>
  </si>
  <si>
    <t>Ruberoid</t>
  </si>
  <si>
    <t>1 mərtəbəli 3 otaqlı ,4 otaqlı və 5 otaqlı fərdi yaşayış evi (birtipli layihə). Rabitə şəbəkələri
(obyektin, iş növünün və xərclərin adı)</t>
  </si>
  <si>
    <t>Cəmi 355 ev</t>
  </si>
  <si>
    <t xml:space="preserve"> m</t>
  </si>
  <si>
    <t>Material</t>
  </si>
  <si>
    <t>İşçilik</t>
  </si>
  <si>
    <t>Quraşdırılmış konstruksiyalar, divarlar, sütunlar, tavanlar, döşəmənin əsası üzrə kabel və naqilləri qorumaq üçün qırçınlı PVX boruları (Plastik qofra boruların divarda çəkilməsi, diametri: 20 mm)</t>
  </si>
  <si>
    <t>Quraşdırılmış konstruksiyalar, divarlar, sütunlar, tavanlar, döşəmənin əsası üzrə kabel və naqilləri qorumaq üçün qırçınlı PVX boruları (Plastik qofra boruların döşəmədə çəkilməsi, diametri: 20 mm)</t>
  </si>
  <si>
    <t>Material + İşçilik</t>
  </si>
  <si>
    <t>İnformasiya rozetkası -2 modul, (Kompüter rozetkası RJ-45)</t>
  </si>
  <si>
    <t>Quraşdırılmış konstruksiyalar üzrə viniplast boru, tavanlar üzrə, diametri, mm, qədər: 50 (PVX boruların tavanda çəkilməsi, diametri: 50 mm)</t>
  </si>
  <si>
    <t>Quraşdırılmış konstruksiyalar üzrə viniplast boru, tavanlar üzrə, diametri, mm, qədər: 50 (PVX boruların tavanda çəkilməsi, diametri: 20 mm)</t>
  </si>
  <si>
    <t>Quraşdırılmış konstruksiyalar üzrə viniplast boru, döşəmənin əsası üzrə, diametri, mm, qədər: 25 (PVX boruların döşəmədə çəkilməsi, diametri: 20 mm)</t>
  </si>
  <si>
    <t>Yüksək elastikliyə, geniş diapazonlu təzyiqə malik, AZS 806-2-2014 EN
12201-2 standartlarına cavab verən polietilen su və qaz borusu: diametri 50 mm, divarının qalınlığı 3 mm, PE 100, PN 10
(PVC boru d=50mm)</t>
  </si>
  <si>
    <t>Qaldırıcı qurğuları quraşdırmaqla, hündülüyü 50 m-ə qədər olan qurulmuş qüllədə (dirəkdə) parabolik qəbuledici- ötürücü antenalar, antenaların diametri: 1,8 m-ə qədər (Damda quraşdırılan parabolik qəbuledici-ötürücü antenna)</t>
  </si>
  <si>
    <t>Yüksək elastikliyə, geniş diapazonlu təzyiqə malik, AZS 806-2-2014 EN
12201-2 standartlarına cavab verən polietilen su və qaz borusu: diametri 50 mm, divarının qalınlığı 3 mm, PE 100, PN 10
() (PVC boru d=50mm)</t>
  </si>
  <si>
    <t>Model</t>
  </si>
  <si>
    <t xml:space="preserve">İP videokamera(daxil) </t>
  </si>
  <si>
    <t>HIKVISION - DS-7104NI-Q1 (4-ch/1 HDD) Mini 1U NVR</t>
  </si>
  <si>
    <t>HIKVISION - DS-2CD1323G2-LIU (2.8mm)  2 MP Smart Hybrid Light Fixed Turret Network Camera</t>
  </si>
  <si>
    <t>HIKVISION - DS-2CD1023G2-LIU (2.8mm)  2 MP Smart Hybrid Light Fixed Bullet Network Camera</t>
  </si>
  <si>
    <t>VOLTAM VM-32" MONİTOR 32 inch 75 HZ monitor FHD VA panel HDMI+VGA</t>
  </si>
  <si>
    <t>TP-Link - LS1005G (5-Port Gigabit Desktop Switch)</t>
  </si>
  <si>
    <t>HIKVISION - DS40HKVS-VX1 (4TB/5400RPM)</t>
  </si>
  <si>
    <t>VOLTAM CAT 6 FTP INDOOR HALOGEN FREE  Şəbəkə Kabeli 0.57 mm pure copper +1.0 HDPE +ground wire +Al foil +6.4mm PVC Fluke pass 500-METR</t>
  </si>
  <si>
    <t>VOLTAM VD-06 86706-EMB+84206-FHD ( *7Inch 1080P HD monitor *Support CBVS/AHD/CVI/TVI signal, Digital photo frame)</t>
  </si>
  <si>
    <t>HIKVISION - DS-K7P01 Exit &amp; Emergency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</si>
</sst>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_-* #,##0\ _₽_-;\-* #,##0\ _₽_-;_-* &quot;-&quot;\ _₽_-;_-@_-"/>
    <numFmt numFmtId="166" formatCode="_-* #,##0.00\ _₽_-;\-* #,##0.00\ _₽_-;_-* &quot;-&quot;\ _₽_-;_-@_-"/>
    <numFmt numFmtId="167" formatCode="_-* #,##0.000\ _₽_-;\-* #,##0.000\ _₽_-;_-* &quot;-&quot;\ _₽_-;_-@_-"/>
  </numFmts>
  <fonts count="13" x14ac:knownFonts="1">
    <font>
      <sz val="11"/>
      <color theme="1"/>
      <name val="Calibri"/>
      <family val="2"/>
      <scheme val="minor"/>
    </font>
    <font>
      <b/>
      <sz val="12"/>
      <name val="Calibri"/>
      <family val="2"/>
    </font>
    <font>
      <b/>
      <sz val="11"/>
      <name val="Calibri"/>
      <family val="2"/>
    </font>
    <font>
      <b/>
      <sz val="11"/>
      <name val="Calibri"/>
      <family val="2"/>
    </font>
    <font>
      <b/>
      <sz val="12"/>
      <name val="Calibri"/>
      <family val="2"/>
    </font>
    <font>
      <sz val="12"/>
      <name val="Arial"/>
      <family val="2"/>
    </font>
    <font>
      <b/>
      <sz val="12"/>
      <name val="Arial"/>
      <family val="2"/>
    </font>
    <font>
      <sz val="12"/>
      <color rgb="FF000000"/>
      <name val="Arial"/>
      <family val="2"/>
    </font>
    <font>
      <b/>
      <sz val="12"/>
      <color theme="1"/>
      <name val="Arial"/>
      <family val="2"/>
    </font>
    <font>
      <sz val="12"/>
      <color theme="1"/>
      <name val="Arial"/>
      <family val="2"/>
    </font>
    <font>
      <b/>
      <sz val="11"/>
      <color theme="1"/>
      <name val="Calibri"/>
      <family val="2"/>
      <charset val="204"/>
      <scheme val="minor"/>
    </font>
    <font>
      <sz val="8"/>
      <name val="Calibri"/>
      <family val="2"/>
      <scheme val="minor"/>
    </font>
    <font>
      <sz val="11"/>
      <color rgb="FFFF0000"/>
      <name val="Calibri"/>
      <family val="2"/>
      <scheme val="minor"/>
    </font>
  </fonts>
  <fills count="3">
    <fill>
      <patternFill patternType="none"/>
    </fill>
    <fill>
      <patternFill patternType="gray125"/>
    </fill>
    <fill>
      <patternFill patternType="solid">
        <fgColor theme="8"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68">
    <xf numFmtId="0" fontId="0" fillId="0" borderId="0" xfId="0"/>
    <xf numFmtId="0" fontId="8" fillId="0" borderId="0" xfId="0" applyFont="1" applyAlignment="1">
      <alignment wrapText="1"/>
    </xf>
    <xf numFmtId="0" fontId="9" fillId="0" borderId="1" xfId="0" applyFont="1" applyBorder="1" applyAlignment="1">
      <alignment horizontal="center" vertical="center" wrapText="1"/>
    </xf>
    <xf numFmtId="0" fontId="9" fillId="0" borderId="0" xfId="0" applyFont="1" applyAlignment="1">
      <alignment wrapText="1"/>
    </xf>
    <xf numFmtId="0" fontId="9" fillId="0" borderId="3" xfId="0" applyFont="1" applyBorder="1" applyAlignment="1">
      <alignment horizontal="left" vertical="center" wrapText="1"/>
    </xf>
    <xf numFmtId="165" fontId="5" fillId="0" borderId="1" xfId="0" applyNumberFormat="1" applyFont="1" applyBorder="1" applyAlignment="1">
      <alignment horizontal="right"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165" fontId="6" fillId="0" borderId="1" xfId="0" applyNumberFormat="1" applyFont="1" applyBorder="1" applyAlignment="1">
      <alignment horizontal="right" vertical="center"/>
    </xf>
    <xf numFmtId="0" fontId="8" fillId="0" borderId="0" xfId="0" applyFont="1"/>
    <xf numFmtId="0" fontId="9" fillId="0" borderId="1" xfId="0" applyFont="1" applyBorder="1" applyAlignment="1">
      <alignment horizontal="center" vertical="center"/>
    </xf>
    <xf numFmtId="0" fontId="9" fillId="0" borderId="1" xfId="0" applyFont="1" applyBorder="1" applyAlignment="1">
      <alignment vertical="center"/>
    </xf>
    <xf numFmtId="165" fontId="5" fillId="0" borderId="1" xfId="0" applyNumberFormat="1" applyFont="1" applyBorder="1" applyAlignment="1">
      <alignment vertical="center"/>
    </xf>
    <xf numFmtId="0" fontId="9" fillId="0" borderId="0" xfId="0" applyFont="1"/>
    <xf numFmtId="165" fontId="9" fillId="0" borderId="1" xfId="0" applyNumberFormat="1" applyFont="1" applyBorder="1" applyAlignment="1">
      <alignment horizontal="right" vertical="center"/>
    </xf>
    <xf numFmtId="0" fontId="8" fillId="0" borderId="1" xfId="0" applyFont="1" applyBorder="1" applyAlignment="1">
      <alignment horizontal="left" vertical="center"/>
    </xf>
    <xf numFmtId="165" fontId="8" fillId="0" borderId="1" xfId="0" applyNumberFormat="1" applyFont="1" applyBorder="1" applyAlignment="1">
      <alignment horizontal="right" vertical="center"/>
    </xf>
    <xf numFmtId="0" fontId="8" fillId="0" borderId="1" xfId="0" applyFont="1" applyBorder="1" applyAlignment="1">
      <alignment horizontal="center"/>
    </xf>
    <xf numFmtId="165" fontId="8" fillId="0" borderId="1" xfId="0" applyNumberFormat="1" applyFont="1" applyBorder="1" applyAlignment="1">
      <alignment vertical="center"/>
    </xf>
    <xf numFmtId="0" fontId="8" fillId="0" borderId="1" xfId="0" applyFont="1" applyBorder="1" applyAlignment="1">
      <alignment horizontal="center" vertical="center" wrapText="1"/>
    </xf>
    <xf numFmtId="166" fontId="5" fillId="0" borderId="1" xfId="0" applyNumberFormat="1" applyFont="1" applyBorder="1" applyAlignment="1">
      <alignment horizontal="right" vertical="center" wrapText="1"/>
    </xf>
    <xf numFmtId="167" fontId="5" fillId="0" borderId="1" xfId="0" applyNumberFormat="1" applyFont="1" applyBorder="1" applyAlignment="1">
      <alignment horizontal="right" vertical="center" wrapText="1"/>
    </xf>
    <xf numFmtId="0" fontId="0" fillId="0" borderId="0" xfId="0" applyAlignment="1">
      <alignment horizontal="center" vertical="center"/>
    </xf>
    <xf numFmtId="0" fontId="0" fillId="0" borderId="1" xfId="0" applyBorder="1" applyAlignment="1">
      <alignment horizontal="center" vertical="center" wrapText="1"/>
    </xf>
    <xf numFmtId="43" fontId="0" fillId="0" borderId="0" xfId="0" applyNumberFormat="1" applyAlignment="1">
      <alignment horizontal="center" vertical="center"/>
    </xf>
    <xf numFmtId="43" fontId="0" fillId="0" borderId="1" xfId="0" applyNumberFormat="1" applyBorder="1" applyAlignment="1">
      <alignment horizontal="center" vertical="center" wrapText="1"/>
    </xf>
    <xf numFmtId="43" fontId="0" fillId="0" borderId="1" xfId="0" applyNumberFormat="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left" vertical="center" wrapText="1"/>
    </xf>
    <xf numFmtId="43" fontId="5" fillId="2" borderId="1" xfId="0" applyNumberFormat="1" applyFont="1" applyFill="1" applyBorder="1" applyAlignment="1">
      <alignment horizontal="center" vertical="center"/>
    </xf>
    <xf numFmtId="43" fontId="0" fillId="2" borderId="1" xfId="0" applyNumberFormat="1" applyFill="1" applyBorder="1" applyAlignment="1">
      <alignment horizontal="center" vertical="center"/>
    </xf>
    <xf numFmtId="0" fontId="5" fillId="2" borderId="1" xfId="0" applyFont="1" applyFill="1" applyBorder="1" applyAlignment="1">
      <alignment horizontal="center" vertical="center" wrapText="1"/>
    </xf>
    <xf numFmtId="43" fontId="5" fillId="2" borderId="1" xfId="0" applyNumberFormat="1" applyFont="1" applyFill="1" applyBorder="1" applyAlignment="1">
      <alignment horizontal="center" vertical="center" wrapText="1"/>
    </xf>
    <xf numFmtId="0" fontId="4" fillId="2" borderId="1" xfId="0" applyFont="1" applyFill="1" applyBorder="1" applyAlignment="1">
      <alignment vertical="center" wrapText="1"/>
    </xf>
    <xf numFmtId="0" fontId="0" fillId="2" borderId="1" xfId="0" applyFill="1" applyBorder="1" applyAlignment="1">
      <alignment horizontal="center" vertical="center"/>
    </xf>
    <xf numFmtId="0" fontId="3" fillId="2" borderId="1" xfId="0" applyFont="1" applyFill="1" applyBorder="1" applyAlignment="1">
      <alignment horizontal="center" vertical="center" wrapText="1"/>
    </xf>
    <xf numFmtId="43" fontId="3"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43" fontId="0" fillId="2" borderId="1" xfId="0" applyNumberFormat="1" applyFill="1" applyBorder="1" applyAlignment="1">
      <alignment horizontal="center" vertical="center" wrapText="1"/>
    </xf>
    <xf numFmtId="43" fontId="10"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43" fontId="2" fillId="2" borderId="1" xfId="0" applyNumberFormat="1"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horizontal="center" vertical="center" wrapText="1"/>
    </xf>
    <xf numFmtId="43" fontId="1" fillId="2" borderId="1" xfId="0" applyNumberFormat="1" applyFont="1" applyFill="1" applyBorder="1" applyAlignment="1">
      <alignment horizontal="center" vertical="center" wrapText="1"/>
    </xf>
    <xf numFmtId="43" fontId="0" fillId="0" borderId="0" xfId="0" applyNumberFormat="1" applyAlignment="1">
      <alignment vertical="center"/>
    </xf>
    <xf numFmtId="0" fontId="0" fillId="0" borderId="0" xfId="0" applyAlignment="1">
      <alignment vertical="center"/>
    </xf>
    <xf numFmtId="0" fontId="0" fillId="2" borderId="1" xfId="0" applyFill="1" applyBorder="1" applyAlignment="1">
      <alignment vertical="center"/>
    </xf>
    <xf numFmtId="0" fontId="0" fillId="2" borderId="1" xfId="0" applyFill="1" applyBorder="1" applyAlignment="1">
      <alignment horizontal="left" vertical="center" wrapText="1"/>
    </xf>
    <xf numFmtId="0" fontId="0" fillId="0" borderId="1" xfId="0" applyBorder="1" applyAlignment="1">
      <alignment horizontal="left" vertical="center" wrapText="1"/>
    </xf>
    <xf numFmtId="164" fontId="7" fillId="2" borderId="1" xfId="0" applyNumberFormat="1" applyFont="1" applyFill="1" applyBorder="1" applyAlignment="1">
      <alignment horizontal="left" vertical="center" wrapText="1"/>
    </xf>
    <xf numFmtId="0" fontId="6" fillId="2" borderId="1" xfId="0" applyFont="1" applyFill="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43" fontId="12" fillId="0" borderId="1" xfId="0" applyNumberFormat="1" applyFont="1" applyBorder="1" applyAlignment="1">
      <alignment horizontal="center" vertical="center" wrapText="1"/>
    </xf>
    <xf numFmtId="43" fontId="12" fillId="0" borderId="1" xfId="0" applyNumberFormat="1" applyFont="1" applyBorder="1" applyAlignment="1">
      <alignment horizontal="center" vertical="center"/>
    </xf>
    <xf numFmtId="43" fontId="12" fillId="0" borderId="0" xfId="0" applyNumberFormat="1" applyFont="1" applyAlignment="1">
      <alignment vertical="center"/>
    </xf>
    <xf numFmtId="0" fontId="12" fillId="0" borderId="0" xfId="0" applyFont="1" applyAlignment="1">
      <alignment vertical="center"/>
    </xf>
    <xf numFmtId="0" fontId="1" fillId="0" borderId="1" xfId="0" applyFont="1" applyBorder="1" applyAlignment="1">
      <alignment horizontal="center" vertical="center" wrapText="1"/>
    </xf>
    <xf numFmtId="0" fontId="0" fillId="0" borderId="1" xfId="0" applyBorder="1" applyAlignment="1">
      <alignment vertical="center"/>
    </xf>
    <xf numFmtId="0" fontId="1" fillId="2" borderId="1" xfId="0" applyFont="1" applyFill="1" applyBorder="1" applyAlignment="1">
      <alignment horizontal="center" vertical="center" wrapText="1"/>
    </xf>
    <xf numFmtId="0" fontId="8" fillId="0" borderId="0" xfId="0" applyFont="1" applyAlignment="1">
      <alignment horizontal="center" vertical="center" wrapText="1"/>
    </xf>
    <xf numFmtId="0" fontId="8" fillId="0" borderId="2" xfId="0" applyFont="1" applyBorder="1" applyAlignment="1">
      <alignment horizontal="center" wrapText="1"/>
    </xf>
    <xf numFmtId="0" fontId="8" fillId="0" borderId="1"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1"/>
  <sheetViews>
    <sheetView tabSelected="1" zoomScale="85" zoomScaleNormal="85" workbookViewId="0">
      <pane xSplit="7" ySplit="4" topLeftCell="O218" activePane="bottomRight" state="frozen"/>
      <selection pane="topRight" activeCell="G1" sqref="G1"/>
      <selection pane="bottomLeft" activeCell="A5" sqref="A5"/>
      <selection pane="bottomRight" activeCell="F190" sqref="F190"/>
    </sheetView>
  </sheetViews>
  <sheetFormatPr defaultColWidth="8.85546875" defaultRowHeight="15" x14ac:dyDescent="0.25"/>
  <cols>
    <col min="1" max="1" width="6" style="47" customWidth="1"/>
    <col min="2" max="3" width="65.85546875" style="47" customWidth="1"/>
    <col min="4" max="4" width="14" style="22" customWidth="1"/>
    <col min="5" max="5" width="12" style="24" customWidth="1"/>
    <col min="6" max="6" width="11.42578125" style="24" customWidth="1"/>
    <col min="7" max="7" width="12.42578125" style="24" customWidth="1"/>
    <col min="8" max="8" width="14.28515625" style="24" bestFit="1" customWidth="1"/>
    <col min="9" max="18" width="8.85546875" style="46"/>
    <col min="19" max="16384" width="8.85546875" style="47"/>
  </cols>
  <sheetData>
    <row r="1" spans="1:14" ht="37.5" customHeight="1" x14ac:dyDescent="0.25">
      <c r="A1" s="59" t="s">
        <v>154</v>
      </c>
      <c r="B1" s="60"/>
      <c r="C1" s="60"/>
      <c r="D1" s="60"/>
      <c r="E1" s="60"/>
      <c r="F1" s="26"/>
      <c r="G1" s="26"/>
      <c r="H1" s="26"/>
      <c r="I1" s="26"/>
      <c r="J1" s="26"/>
      <c r="K1" s="26"/>
      <c r="L1" s="26"/>
      <c r="M1" s="26"/>
      <c r="N1" s="26"/>
    </row>
    <row r="2" spans="1:14" ht="15.75" customHeight="1" x14ac:dyDescent="0.25">
      <c r="A2" s="61"/>
      <c r="B2" s="61"/>
      <c r="C2" s="61"/>
      <c r="D2" s="61"/>
      <c r="E2" s="61"/>
      <c r="F2" s="30"/>
      <c r="G2" s="39"/>
      <c r="H2" s="30"/>
    </row>
    <row r="3" spans="1:14" ht="36" customHeight="1" x14ac:dyDescent="0.25">
      <c r="A3" s="40" t="s">
        <v>0</v>
      </c>
      <c r="B3" s="40" t="s">
        <v>1</v>
      </c>
      <c r="C3" s="40" t="s">
        <v>230</v>
      </c>
      <c r="D3" s="40" t="s">
        <v>2</v>
      </c>
      <c r="E3" s="41" t="s">
        <v>3</v>
      </c>
      <c r="F3" s="41" t="s">
        <v>198</v>
      </c>
      <c r="G3" s="41" t="s">
        <v>199</v>
      </c>
      <c r="H3" s="30"/>
    </row>
    <row r="4" spans="1:14" ht="30" customHeight="1" x14ac:dyDescent="0.25">
      <c r="A4" s="37">
        <v>1</v>
      </c>
      <c r="B4" s="37">
        <v>3</v>
      </c>
      <c r="C4" s="37"/>
      <c r="D4" s="37">
        <v>4</v>
      </c>
      <c r="E4" s="37">
        <v>5</v>
      </c>
      <c r="F4" s="37">
        <v>6</v>
      </c>
      <c r="G4" s="37">
        <v>7</v>
      </c>
      <c r="H4" s="30"/>
    </row>
    <row r="5" spans="1:14" ht="47.25" hidden="1" x14ac:dyDescent="0.25">
      <c r="A5" s="48"/>
      <c r="B5" s="42" t="s">
        <v>215</v>
      </c>
      <c r="C5" s="42"/>
      <c r="D5" s="34"/>
      <c r="E5" s="30"/>
      <c r="F5" s="30"/>
      <c r="G5" s="30"/>
      <c r="H5" s="30"/>
    </row>
    <row r="6" spans="1:14" ht="15.75" hidden="1" x14ac:dyDescent="0.25">
      <c r="A6" s="48"/>
      <c r="B6" s="43" t="s">
        <v>216</v>
      </c>
      <c r="C6" s="43"/>
      <c r="D6" s="44"/>
      <c r="E6" s="45"/>
      <c r="F6" s="30"/>
      <c r="G6" s="30"/>
      <c r="H6" s="30"/>
    </row>
    <row r="7" spans="1:14" ht="30" x14ac:dyDescent="0.25">
      <c r="A7" s="40" t="s">
        <v>0</v>
      </c>
      <c r="B7" s="40" t="s">
        <v>1</v>
      </c>
      <c r="C7" s="40"/>
      <c r="D7" s="40" t="s">
        <v>2</v>
      </c>
      <c r="E7" s="41" t="s">
        <v>3</v>
      </c>
      <c r="F7" s="30"/>
      <c r="G7" s="30"/>
      <c r="H7" s="30"/>
    </row>
    <row r="8" spans="1:14" x14ac:dyDescent="0.25">
      <c r="A8" s="37">
        <v>1</v>
      </c>
      <c r="B8" s="49">
        <v>3</v>
      </c>
      <c r="C8" s="49"/>
      <c r="D8" s="37">
        <v>4</v>
      </c>
      <c r="E8" s="38">
        <v>5</v>
      </c>
      <c r="F8" s="30"/>
      <c r="G8" s="30"/>
      <c r="H8" s="30"/>
    </row>
    <row r="9" spans="1:14" ht="30" hidden="1" x14ac:dyDescent="0.25">
      <c r="A9" s="23">
        <v>1</v>
      </c>
      <c r="B9" s="50" t="s">
        <v>12</v>
      </c>
      <c r="C9" s="50"/>
      <c r="D9" s="23" t="s">
        <v>8</v>
      </c>
      <c r="E9" s="25">
        <v>355</v>
      </c>
      <c r="F9" s="26"/>
      <c r="G9" s="26">
        <f t="shared" ref="G9:G23" si="0">E9*F9</f>
        <v>0</v>
      </c>
      <c r="H9" s="26" t="s">
        <v>219</v>
      </c>
    </row>
    <row r="10" spans="1:14" hidden="1" x14ac:dyDescent="0.25">
      <c r="A10" s="23">
        <v>2</v>
      </c>
      <c r="B10" s="50" t="s">
        <v>15</v>
      </c>
      <c r="C10" s="50"/>
      <c r="D10" s="23" t="s">
        <v>8</v>
      </c>
      <c r="E10" s="25">
        <v>355</v>
      </c>
      <c r="F10" s="26"/>
      <c r="G10" s="26">
        <f t="shared" si="0"/>
        <v>0</v>
      </c>
      <c r="H10" s="26" t="s">
        <v>218</v>
      </c>
    </row>
    <row r="11" spans="1:14" ht="30" hidden="1" x14ac:dyDescent="0.25">
      <c r="A11" s="23">
        <v>3</v>
      </c>
      <c r="B11" s="50" t="s">
        <v>13</v>
      </c>
      <c r="C11" s="50"/>
      <c r="D11" s="23" t="s">
        <v>8</v>
      </c>
      <c r="E11" s="25">
        <v>355</v>
      </c>
      <c r="F11" s="26"/>
      <c r="G11" s="26">
        <f t="shared" si="0"/>
        <v>0</v>
      </c>
      <c r="H11" s="26" t="s">
        <v>219</v>
      </c>
    </row>
    <row r="12" spans="1:14" hidden="1" x14ac:dyDescent="0.25">
      <c r="A12" s="23">
        <v>4</v>
      </c>
      <c r="B12" s="50" t="s">
        <v>16</v>
      </c>
      <c r="C12" s="50"/>
      <c r="D12" s="23" t="s">
        <v>8</v>
      </c>
      <c r="E12" s="25">
        <v>355</v>
      </c>
      <c r="F12" s="26"/>
      <c r="G12" s="26">
        <f t="shared" si="0"/>
        <v>0</v>
      </c>
      <c r="H12" s="26" t="s">
        <v>218</v>
      </c>
    </row>
    <row r="13" spans="1:14" ht="30" hidden="1" x14ac:dyDescent="0.25">
      <c r="A13" s="23">
        <v>5</v>
      </c>
      <c r="B13" s="50" t="s">
        <v>17</v>
      </c>
      <c r="C13" s="50"/>
      <c r="D13" s="23" t="s">
        <v>8</v>
      </c>
      <c r="E13" s="25">
        <v>355</v>
      </c>
      <c r="F13" s="26"/>
      <c r="G13" s="26">
        <f t="shared" si="0"/>
        <v>0</v>
      </c>
      <c r="H13" s="26" t="s">
        <v>219</v>
      </c>
    </row>
    <row r="14" spans="1:14" hidden="1" x14ac:dyDescent="0.25">
      <c r="A14" s="23">
        <v>6</v>
      </c>
      <c r="B14" s="50" t="s">
        <v>18</v>
      </c>
      <c r="C14" s="50"/>
      <c r="D14" s="23" t="s">
        <v>8</v>
      </c>
      <c r="E14" s="25">
        <v>355</v>
      </c>
      <c r="F14" s="26"/>
      <c r="G14" s="26">
        <f t="shared" si="0"/>
        <v>0</v>
      </c>
      <c r="H14" s="26" t="s">
        <v>218</v>
      </c>
    </row>
    <row r="15" spans="1:14" ht="30" hidden="1" x14ac:dyDescent="0.25">
      <c r="A15" s="23">
        <v>7</v>
      </c>
      <c r="B15" s="50" t="s">
        <v>19</v>
      </c>
      <c r="C15" s="50"/>
      <c r="D15" s="23" t="s">
        <v>8</v>
      </c>
      <c r="E15" s="25">
        <v>355</v>
      </c>
      <c r="F15" s="26"/>
      <c r="G15" s="26">
        <f t="shared" si="0"/>
        <v>0</v>
      </c>
      <c r="H15" s="26" t="s">
        <v>219</v>
      </c>
    </row>
    <row r="16" spans="1:14" ht="30" hidden="1" x14ac:dyDescent="0.25">
      <c r="A16" s="23">
        <v>8</v>
      </c>
      <c r="B16" s="50" t="s">
        <v>20</v>
      </c>
      <c r="C16" s="50"/>
      <c r="D16" s="23" t="s">
        <v>8</v>
      </c>
      <c r="E16" s="25">
        <v>355</v>
      </c>
      <c r="F16" s="26"/>
      <c r="G16" s="26">
        <f t="shared" si="0"/>
        <v>0</v>
      </c>
      <c r="H16" s="26" t="s">
        <v>218</v>
      </c>
    </row>
    <row r="17" spans="1:8" ht="45" hidden="1" x14ac:dyDescent="0.25">
      <c r="A17" s="23">
        <v>9</v>
      </c>
      <c r="B17" s="50" t="s">
        <v>21</v>
      </c>
      <c r="C17" s="50"/>
      <c r="D17" s="23" t="s">
        <v>8</v>
      </c>
      <c r="E17" s="25">
        <v>355</v>
      </c>
      <c r="F17" s="26"/>
      <c r="G17" s="26">
        <f t="shared" si="0"/>
        <v>0</v>
      </c>
      <c r="H17" s="26" t="s">
        <v>219</v>
      </c>
    </row>
    <row r="18" spans="1:8" ht="30" hidden="1" x14ac:dyDescent="0.25">
      <c r="A18" s="23">
        <v>10</v>
      </c>
      <c r="B18" s="50" t="s">
        <v>22</v>
      </c>
      <c r="C18" s="50"/>
      <c r="D18" s="23" t="s">
        <v>8</v>
      </c>
      <c r="E18" s="25">
        <v>355</v>
      </c>
      <c r="F18" s="26"/>
      <c r="G18" s="26">
        <f t="shared" si="0"/>
        <v>0</v>
      </c>
      <c r="H18" s="26" t="s">
        <v>218</v>
      </c>
    </row>
    <row r="19" spans="1:8" ht="45" hidden="1" x14ac:dyDescent="0.25">
      <c r="A19" s="23">
        <v>11</v>
      </c>
      <c r="B19" s="50" t="s">
        <v>23</v>
      </c>
      <c r="C19" s="50"/>
      <c r="D19" s="23" t="s">
        <v>9</v>
      </c>
      <c r="E19" s="25">
        <v>22800</v>
      </c>
      <c r="F19" s="26"/>
      <c r="G19" s="26">
        <f t="shared" si="0"/>
        <v>0</v>
      </c>
      <c r="H19" s="26" t="s">
        <v>219</v>
      </c>
    </row>
    <row r="20" spans="1:8" ht="30" hidden="1" x14ac:dyDescent="0.25">
      <c r="A20" s="23">
        <v>12</v>
      </c>
      <c r="B20" s="50" t="s">
        <v>14</v>
      </c>
      <c r="C20" s="50"/>
      <c r="D20" s="23" t="s">
        <v>9</v>
      </c>
      <c r="E20" s="25">
        <v>22800</v>
      </c>
      <c r="F20" s="26"/>
      <c r="G20" s="26">
        <f t="shared" si="0"/>
        <v>0</v>
      </c>
      <c r="H20" s="26" t="s">
        <v>219</v>
      </c>
    </row>
    <row r="21" spans="1:8" hidden="1" x14ac:dyDescent="0.25">
      <c r="A21" s="23">
        <v>13</v>
      </c>
      <c r="B21" s="50" t="s">
        <v>24</v>
      </c>
      <c r="C21" s="50"/>
      <c r="D21" s="23" t="s">
        <v>9</v>
      </c>
      <c r="E21" s="25">
        <v>15555</v>
      </c>
      <c r="F21" s="26"/>
      <c r="G21" s="26">
        <f t="shared" si="0"/>
        <v>0</v>
      </c>
      <c r="H21" s="26" t="s">
        <v>218</v>
      </c>
    </row>
    <row r="22" spans="1:8" hidden="1" x14ac:dyDescent="0.25">
      <c r="A22" s="23">
        <v>14</v>
      </c>
      <c r="B22" s="50" t="s">
        <v>25</v>
      </c>
      <c r="C22" s="50"/>
      <c r="D22" s="23" t="s">
        <v>9</v>
      </c>
      <c r="E22" s="25">
        <v>7700</v>
      </c>
      <c r="F22" s="26"/>
      <c r="G22" s="26">
        <f t="shared" si="0"/>
        <v>0</v>
      </c>
      <c r="H22" s="26" t="s">
        <v>218</v>
      </c>
    </row>
    <row r="23" spans="1:8" hidden="1" x14ac:dyDescent="0.25">
      <c r="A23" s="23">
        <v>15</v>
      </c>
      <c r="B23" s="50" t="s">
        <v>26</v>
      </c>
      <c r="C23" s="50"/>
      <c r="D23" s="23" t="s">
        <v>9</v>
      </c>
      <c r="E23" s="25">
        <v>23255</v>
      </c>
      <c r="F23" s="26"/>
      <c r="G23" s="26">
        <f t="shared" si="0"/>
        <v>0</v>
      </c>
      <c r="H23" s="26" t="s">
        <v>218</v>
      </c>
    </row>
    <row r="24" spans="1:8" ht="15.75" hidden="1" x14ac:dyDescent="0.25">
      <c r="A24" s="48"/>
      <c r="B24" s="33" t="s">
        <v>114</v>
      </c>
      <c r="C24" s="33"/>
      <c r="D24" s="34"/>
      <c r="E24" s="30"/>
      <c r="F24" s="30"/>
      <c r="G24" s="30">
        <f t="shared" ref="G24:G34" si="1">E24*F24</f>
        <v>0</v>
      </c>
      <c r="H24" s="30"/>
    </row>
    <row r="25" spans="1:8" ht="30" hidden="1" x14ac:dyDescent="0.25">
      <c r="A25" s="35" t="s">
        <v>0</v>
      </c>
      <c r="B25" s="35" t="s">
        <v>1</v>
      </c>
      <c r="C25" s="35"/>
      <c r="D25" s="35" t="s">
        <v>2</v>
      </c>
      <c r="E25" s="36" t="s">
        <v>3</v>
      </c>
      <c r="F25" s="30"/>
      <c r="G25" s="30"/>
      <c r="H25" s="30"/>
    </row>
    <row r="26" spans="1:8" x14ac:dyDescent="0.25">
      <c r="A26" s="37">
        <v>1</v>
      </c>
      <c r="B26" s="49">
        <v>3</v>
      </c>
      <c r="C26" s="49"/>
      <c r="D26" s="37">
        <v>4</v>
      </c>
      <c r="E26" s="38">
        <v>5</v>
      </c>
      <c r="F26" s="30"/>
      <c r="G26" s="30">
        <f t="shared" si="1"/>
        <v>0</v>
      </c>
      <c r="H26" s="30"/>
    </row>
    <row r="27" spans="1:8" ht="60" hidden="1" x14ac:dyDescent="0.25">
      <c r="A27" s="23">
        <v>1</v>
      </c>
      <c r="B27" s="50" t="s">
        <v>113</v>
      </c>
      <c r="C27" s="50"/>
      <c r="D27" s="23" t="s">
        <v>106</v>
      </c>
      <c r="E27" s="25">
        <v>6</v>
      </c>
      <c r="F27" s="26"/>
      <c r="G27" s="26">
        <f t="shared" si="1"/>
        <v>0</v>
      </c>
      <c r="H27" s="26" t="s">
        <v>219</v>
      </c>
    </row>
    <row r="28" spans="1:8" hidden="1" x14ac:dyDescent="0.25">
      <c r="A28" s="23">
        <v>2</v>
      </c>
      <c r="B28" s="50" t="s">
        <v>147</v>
      </c>
      <c r="C28" s="50"/>
      <c r="D28" s="23" t="s">
        <v>8</v>
      </c>
      <c r="E28" s="25">
        <v>6</v>
      </c>
      <c r="F28" s="26"/>
      <c r="G28" s="26">
        <f t="shared" si="1"/>
        <v>0</v>
      </c>
      <c r="H28" s="26" t="s">
        <v>218</v>
      </c>
    </row>
    <row r="29" spans="1:8" ht="30" hidden="1" x14ac:dyDescent="0.25">
      <c r="A29" s="23">
        <v>3</v>
      </c>
      <c r="B29" s="50" t="s">
        <v>109</v>
      </c>
      <c r="C29" s="50"/>
      <c r="D29" s="23" t="s">
        <v>5</v>
      </c>
      <c r="E29" s="25">
        <v>0.111</v>
      </c>
      <c r="F29" s="26"/>
      <c r="G29" s="26">
        <f t="shared" si="1"/>
        <v>0</v>
      </c>
      <c r="H29" s="26" t="s">
        <v>219</v>
      </c>
    </row>
    <row r="30" spans="1:8" hidden="1" x14ac:dyDescent="0.25">
      <c r="A30" s="23">
        <v>4</v>
      </c>
      <c r="B30" s="50" t="s">
        <v>155</v>
      </c>
      <c r="C30" s="50"/>
      <c r="D30" s="23" t="s">
        <v>8</v>
      </c>
      <c r="E30" s="25">
        <v>6</v>
      </c>
      <c r="F30" s="26"/>
      <c r="G30" s="26">
        <f t="shared" si="1"/>
        <v>0</v>
      </c>
      <c r="H30" s="26" t="s">
        <v>218</v>
      </c>
    </row>
    <row r="31" spans="1:8" ht="45" hidden="1" x14ac:dyDescent="0.25">
      <c r="A31" s="23">
        <v>5</v>
      </c>
      <c r="B31" s="50" t="s">
        <v>107</v>
      </c>
      <c r="C31" s="50"/>
      <c r="D31" s="23" t="s">
        <v>106</v>
      </c>
      <c r="E31" s="25">
        <v>6</v>
      </c>
      <c r="F31" s="26"/>
      <c r="G31" s="26">
        <f t="shared" si="1"/>
        <v>0</v>
      </c>
      <c r="H31" s="26" t="s">
        <v>219</v>
      </c>
    </row>
    <row r="32" spans="1:8" ht="30" hidden="1" x14ac:dyDescent="0.25">
      <c r="A32" s="23">
        <v>6</v>
      </c>
      <c r="B32" s="50" t="s">
        <v>146</v>
      </c>
      <c r="C32" s="50"/>
      <c r="D32" s="23" t="s">
        <v>8</v>
      </c>
      <c r="E32" s="25">
        <v>6</v>
      </c>
      <c r="F32" s="26"/>
      <c r="G32" s="26">
        <f t="shared" si="1"/>
        <v>0</v>
      </c>
      <c r="H32" s="26" t="s">
        <v>218</v>
      </c>
    </row>
    <row r="33" spans="1:8" ht="30" hidden="1" x14ac:dyDescent="0.25">
      <c r="A33" s="23">
        <v>7</v>
      </c>
      <c r="B33" s="50" t="s">
        <v>105</v>
      </c>
      <c r="C33" s="50"/>
      <c r="D33" s="23" t="s">
        <v>8</v>
      </c>
      <c r="E33" s="25">
        <v>6</v>
      </c>
      <c r="F33" s="26"/>
      <c r="G33" s="26">
        <f t="shared" si="1"/>
        <v>0</v>
      </c>
      <c r="H33" s="26" t="s">
        <v>219</v>
      </c>
    </row>
    <row r="34" spans="1:8" ht="45" hidden="1" x14ac:dyDescent="0.25">
      <c r="A34" s="23">
        <v>8</v>
      </c>
      <c r="B34" s="50" t="s">
        <v>156</v>
      </c>
      <c r="C34" s="50"/>
      <c r="D34" s="23" t="s">
        <v>8</v>
      </c>
      <c r="E34" s="25">
        <v>6</v>
      </c>
      <c r="F34" s="26"/>
      <c r="G34" s="26">
        <f t="shared" si="1"/>
        <v>0</v>
      </c>
      <c r="H34" s="26" t="s">
        <v>218</v>
      </c>
    </row>
    <row r="35" spans="1:8" ht="30" hidden="1" x14ac:dyDescent="0.25">
      <c r="A35" s="23">
        <v>9</v>
      </c>
      <c r="B35" s="50" t="s">
        <v>104</v>
      </c>
      <c r="C35" s="50"/>
      <c r="D35" s="23" t="s">
        <v>8</v>
      </c>
      <c r="E35" s="25">
        <v>6</v>
      </c>
      <c r="F35" s="26"/>
      <c r="G35" s="26">
        <f t="shared" ref="G35:G98" si="2">E35*F35</f>
        <v>0</v>
      </c>
      <c r="H35" s="26" t="s">
        <v>219</v>
      </c>
    </row>
    <row r="36" spans="1:8" ht="30" hidden="1" x14ac:dyDescent="0.25">
      <c r="A36" s="23">
        <v>10</v>
      </c>
      <c r="B36" s="50" t="s">
        <v>122</v>
      </c>
      <c r="C36" s="50"/>
      <c r="D36" s="23" t="s">
        <v>8</v>
      </c>
      <c r="E36" s="25">
        <v>6</v>
      </c>
      <c r="F36" s="26"/>
      <c r="G36" s="26">
        <f t="shared" si="2"/>
        <v>0</v>
      </c>
      <c r="H36" s="26" t="s">
        <v>218</v>
      </c>
    </row>
    <row r="37" spans="1:8" ht="30" hidden="1" x14ac:dyDescent="0.25">
      <c r="A37" s="23">
        <v>11</v>
      </c>
      <c r="B37" s="50" t="s">
        <v>103</v>
      </c>
      <c r="C37" s="50"/>
      <c r="D37" s="23" t="s">
        <v>87</v>
      </c>
      <c r="E37" s="25">
        <v>24</v>
      </c>
      <c r="F37" s="26"/>
      <c r="G37" s="26">
        <f t="shared" si="2"/>
        <v>0</v>
      </c>
      <c r="H37" s="26" t="s">
        <v>219</v>
      </c>
    </row>
    <row r="38" spans="1:8" hidden="1" x14ac:dyDescent="0.25">
      <c r="A38" s="23">
        <v>12</v>
      </c>
      <c r="B38" s="50" t="s">
        <v>157</v>
      </c>
      <c r="C38" s="50"/>
      <c r="D38" s="23" t="s">
        <v>8</v>
      </c>
      <c r="E38" s="25">
        <v>24</v>
      </c>
      <c r="F38" s="26"/>
      <c r="G38" s="26">
        <f t="shared" si="2"/>
        <v>0</v>
      </c>
      <c r="H38" s="26" t="s">
        <v>218</v>
      </c>
    </row>
    <row r="39" spans="1:8" ht="30" hidden="1" x14ac:dyDescent="0.25">
      <c r="A39" s="23">
        <v>13</v>
      </c>
      <c r="B39" s="50" t="s">
        <v>102</v>
      </c>
      <c r="C39" s="50"/>
      <c r="D39" s="23" t="s">
        <v>8</v>
      </c>
      <c r="E39" s="25">
        <v>24</v>
      </c>
      <c r="F39" s="26"/>
      <c r="G39" s="26">
        <f t="shared" si="2"/>
        <v>0</v>
      </c>
      <c r="H39" s="26" t="s">
        <v>219</v>
      </c>
    </row>
    <row r="40" spans="1:8" ht="30" hidden="1" x14ac:dyDescent="0.25">
      <c r="A40" s="23">
        <v>14</v>
      </c>
      <c r="B40" s="50" t="s">
        <v>158</v>
      </c>
      <c r="C40" s="50"/>
      <c r="D40" s="23" t="s">
        <v>8</v>
      </c>
      <c r="E40" s="25">
        <v>24</v>
      </c>
      <c r="F40" s="26"/>
      <c r="G40" s="26">
        <f t="shared" si="2"/>
        <v>0</v>
      </c>
      <c r="H40" s="26" t="s">
        <v>218</v>
      </c>
    </row>
    <row r="41" spans="1:8" ht="30" hidden="1" x14ac:dyDescent="0.25">
      <c r="A41" s="23">
        <v>15</v>
      </c>
      <c r="B41" s="50" t="s">
        <v>101</v>
      </c>
      <c r="C41" s="50"/>
      <c r="D41" s="23" t="s">
        <v>8</v>
      </c>
      <c r="E41" s="25">
        <v>96</v>
      </c>
      <c r="F41" s="26"/>
      <c r="G41" s="26">
        <f t="shared" si="2"/>
        <v>0</v>
      </c>
      <c r="H41" s="26" t="s">
        <v>219</v>
      </c>
    </row>
    <row r="42" spans="1:8" ht="30" hidden="1" x14ac:dyDescent="0.25">
      <c r="A42" s="23">
        <v>16</v>
      </c>
      <c r="B42" s="50" t="s">
        <v>159</v>
      </c>
      <c r="C42" s="50"/>
      <c r="D42" s="23" t="s">
        <v>8</v>
      </c>
      <c r="E42" s="25">
        <v>96</v>
      </c>
      <c r="F42" s="26"/>
      <c r="G42" s="26">
        <f t="shared" si="2"/>
        <v>0</v>
      </c>
      <c r="H42" s="26" t="s">
        <v>218</v>
      </c>
    </row>
    <row r="43" spans="1:8" ht="60" hidden="1" x14ac:dyDescent="0.25">
      <c r="A43" s="23">
        <v>17</v>
      </c>
      <c r="B43" s="50" t="s">
        <v>80</v>
      </c>
      <c r="C43" s="50"/>
      <c r="D43" s="23" t="s">
        <v>217</v>
      </c>
      <c r="E43" s="25">
        <v>120</v>
      </c>
      <c r="F43" s="26"/>
      <c r="G43" s="26">
        <f t="shared" si="2"/>
        <v>0</v>
      </c>
      <c r="H43" s="26" t="s">
        <v>219</v>
      </c>
    </row>
    <row r="44" spans="1:8" ht="45" hidden="1" x14ac:dyDescent="0.25">
      <c r="A44" s="23">
        <v>18</v>
      </c>
      <c r="B44" s="50" t="s">
        <v>220</v>
      </c>
      <c r="C44" s="50"/>
      <c r="D44" s="23" t="s">
        <v>217</v>
      </c>
      <c r="E44" s="25">
        <v>1260</v>
      </c>
      <c r="F44" s="26"/>
      <c r="G44" s="26">
        <f t="shared" si="2"/>
        <v>0</v>
      </c>
      <c r="H44" s="26" t="s">
        <v>219</v>
      </c>
    </row>
    <row r="45" spans="1:8" ht="45" hidden="1" x14ac:dyDescent="0.25">
      <c r="A45" s="23">
        <v>19</v>
      </c>
      <c r="B45" s="50" t="s">
        <v>221</v>
      </c>
      <c r="C45" s="50"/>
      <c r="D45" s="23" t="s">
        <v>217</v>
      </c>
      <c r="E45" s="25">
        <v>480</v>
      </c>
      <c r="F45" s="26"/>
      <c r="G45" s="26">
        <f t="shared" si="2"/>
        <v>0</v>
      </c>
      <c r="H45" s="26" t="s">
        <v>219</v>
      </c>
    </row>
    <row r="46" spans="1:8" ht="30" hidden="1" x14ac:dyDescent="0.25">
      <c r="A46" s="23">
        <v>20</v>
      </c>
      <c r="B46" s="50" t="s">
        <v>14</v>
      </c>
      <c r="C46" s="50"/>
      <c r="D46" s="23" t="s">
        <v>217</v>
      </c>
      <c r="E46" s="25">
        <v>1739.9999999999998</v>
      </c>
      <c r="F46" s="26"/>
      <c r="G46" s="26">
        <f t="shared" si="2"/>
        <v>0</v>
      </c>
      <c r="H46" s="26" t="s">
        <v>219</v>
      </c>
    </row>
    <row r="47" spans="1:8" ht="30" hidden="1" x14ac:dyDescent="0.25">
      <c r="A47" s="23">
        <v>21</v>
      </c>
      <c r="B47" s="50" t="s">
        <v>14</v>
      </c>
      <c r="C47" s="50"/>
      <c r="D47" s="23" t="s">
        <v>217</v>
      </c>
      <c r="E47" s="25">
        <v>600</v>
      </c>
      <c r="F47" s="26"/>
      <c r="G47" s="26">
        <f t="shared" si="2"/>
        <v>0</v>
      </c>
      <c r="H47" s="26" t="s">
        <v>219</v>
      </c>
    </row>
    <row r="48" spans="1:8" ht="30" hidden="1" x14ac:dyDescent="0.25">
      <c r="A48" s="23">
        <v>22</v>
      </c>
      <c r="B48" s="50" t="s">
        <v>100</v>
      </c>
      <c r="C48" s="50"/>
      <c r="D48" s="23" t="s">
        <v>217</v>
      </c>
      <c r="E48" s="25">
        <v>600</v>
      </c>
      <c r="F48" s="26"/>
      <c r="G48" s="26">
        <f t="shared" si="2"/>
        <v>0</v>
      </c>
      <c r="H48" s="26" t="s">
        <v>219</v>
      </c>
    </row>
    <row r="49" spans="1:8" ht="45" hidden="1" x14ac:dyDescent="0.25">
      <c r="A49" s="23">
        <v>23</v>
      </c>
      <c r="B49" s="50" t="s">
        <v>99</v>
      </c>
      <c r="C49" s="50"/>
      <c r="D49" s="23" t="s">
        <v>10</v>
      </c>
      <c r="E49" s="25">
        <v>2.88</v>
      </c>
      <c r="F49" s="26"/>
      <c r="G49" s="26">
        <f t="shared" si="2"/>
        <v>0</v>
      </c>
      <c r="H49" s="26" t="s">
        <v>222</v>
      </c>
    </row>
    <row r="50" spans="1:8" ht="30" hidden="1" x14ac:dyDescent="0.25">
      <c r="A50" s="23">
        <v>24</v>
      </c>
      <c r="B50" s="50" t="s">
        <v>98</v>
      </c>
      <c r="C50" s="50"/>
      <c r="D50" s="23" t="s">
        <v>9</v>
      </c>
      <c r="E50" s="25">
        <v>1224</v>
      </c>
      <c r="F50" s="26"/>
      <c r="G50" s="26">
        <f t="shared" si="2"/>
        <v>0</v>
      </c>
      <c r="H50" s="26" t="s">
        <v>218</v>
      </c>
    </row>
    <row r="51" spans="1:8" ht="30" hidden="1" x14ac:dyDescent="0.25">
      <c r="A51" s="23">
        <v>25</v>
      </c>
      <c r="B51" s="50" t="s">
        <v>29</v>
      </c>
      <c r="C51" s="50"/>
      <c r="D51" s="23" t="s">
        <v>9</v>
      </c>
      <c r="E51" s="25">
        <v>1776</v>
      </c>
      <c r="F51" s="26"/>
      <c r="G51" s="26">
        <f t="shared" si="2"/>
        <v>0</v>
      </c>
      <c r="H51" s="26" t="s">
        <v>218</v>
      </c>
    </row>
    <row r="52" spans="1:8" ht="45" hidden="1" x14ac:dyDescent="0.25">
      <c r="A52" s="23">
        <v>26</v>
      </c>
      <c r="B52" s="50" t="s">
        <v>160</v>
      </c>
      <c r="C52" s="50"/>
      <c r="D52" s="23" t="s">
        <v>9</v>
      </c>
      <c r="E52" s="25">
        <v>1776</v>
      </c>
      <c r="F52" s="26"/>
      <c r="G52" s="26">
        <f t="shared" si="2"/>
        <v>0</v>
      </c>
      <c r="H52" s="26" t="s">
        <v>218</v>
      </c>
    </row>
    <row r="53" spans="1:8" ht="45" hidden="1" x14ac:dyDescent="0.25">
      <c r="A53" s="23">
        <v>27</v>
      </c>
      <c r="B53" s="50" t="s">
        <v>145</v>
      </c>
      <c r="C53" s="50"/>
      <c r="D53" s="23" t="s">
        <v>9</v>
      </c>
      <c r="E53" s="25">
        <v>120</v>
      </c>
      <c r="F53" s="26"/>
      <c r="G53" s="26">
        <f t="shared" si="2"/>
        <v>0</v>
      </c>
      <c r="H53" s="26" t="s">
        <v>218</v>
      </c>
    </row>
    <row r="54" spans="1:8" ht="30" hidden="1" x14ac:dyDescent="0.25">
      <c r="A54" s="23">
        <v>28</v>
      </c>
      <c r="B54" s="50" t="s">
        <v>111</v>
      </c>
      <c r="C54" s="50"/>
      <c r="D54" s="23" t="s">
        <v>8</v>
      </c>
      <c r="E54" s="25">
        <v>18</v>
      </c>
      <c r="F54" s="26"/>
      <c r="G54" s="26">
        <f t="shared" si="2"/>
        <v>0</v>
      </c>
      <c r="H54" s="26" t="s">
        <v>219</v>
      </c>
    </row>
    <row r="55" spans="1:8" ht="30" hidden="1" x14ac:dyDescent="0.25">
      <c r="A55" s="23">
        <v>29</v>
      </c>
      <c r="B55" s="50" t="s">
        <v>96</v>
      </c>
      <c r="C55" s="50"/>
      <c r="D55" s="23" t="s">
        <v>11</v>
      </c>
      <c r="E55" s="25">
        <v>66.599999999999994</v>
      </c>
      <c r="F55" s="26"/>
      <c r="G55" s="26">
        <f t="shared" si="2"/>
        <v>0</v>
      </c>
      <c r="H55" s="26" t="s">
        <v>218</v>
      </c>
    </row>
    <row r="56" spans="1:8" ht="45" hidden="1" x14ac:dyDescent="0.25">
      <c r="A56" s="23">
        <v>30</v>
      </c>
      <c r="B56" s="50" t="s">
        <v>95</v>
      </c>
      <c r="C56" s="50"/>
      <c r="D56" s="23" t="s">
        <v>9</v>
      </c>
      <c r="E56" s="25">
        <v>90</v>
      </c>
      <c r="F56" s="26"/>
      <c r="G56" s="26">
        <f t="shared" si="2"/>
        <v>0</v>
      </c>
      <c r="H56" s="26" t="s">
        <v>219</v>
      </c>
    </row>
    <row r="57" spans="1:8" ht="30" hidden="1" x14ac:dyDescent="0.25">
      <c r="A57" s="23">
        <v>31</v>
      </c>
      <c r="B57" s="50" t="s">
        <v>161</v>
      </c>
      <c r="C57" s="50"/>
      <c r="D57" s="23" t="s">
        <v>5</v>
      </c>
      <c r="E57" s="25">
        <v>0.114</v>
      </c>
      <c r="F57" s="26"/>
      <c r="G57" s="26">
        <f t="shared" si="2"/>
        <v>0</v>
      </c>
      <c r="H57" s="26" t="s">
        <v>218</v>
      </c>
    </row>
    <row r="58" spans="1:8" ht="30" hidden="1" x14ac:dyDescent="0.25">
      <c r="A58" s="23">
        <v>32</v>
      </c>
      <c r="B58" s="50" t="s">
        <v>94</v>
      </c>
      <c r="C58" s="50"/>
      <c r="D58" s="23" t="s">
        <v>9</v>
      </c>
      <c r="E58" s="25">
        <v>90</v>
      </c>
      <c r="F58" s="26"/>
      <c r="G58" s="26">
        <f t="shared" si="2"/>
        <v>0</v>
      </c>
      <c r="H58" s="26" t="s">
        <v>222</v>
      </c>
    </row>
    <row r="59" spans="1:8" ht="30" hidden="1" x14ac:dyDescent="0.25">
      <c r="A59" s="23">
        <v>33</v>
      </c>
      <c r="B59" s="50" t="s">
        <v>93</v>
      </c>
      <c r="C59" s="50"/>
      <c r="D59" s="23" t="s">
        <v>9</v>
      </c>
      <c r="E59" s="25">
        <v>30</v>
      </c>
      <c r="F59" s="26"/>
      <c r="G59" s="26">
        <f t="shared" si="2"/>
        <v>0</v>
      </c>
      <c r="H59" s="26" t="s">
        <v>222</v>
      </c>
    </row>
    <row r="60" spans="1:8" ht="30" hidden="1" x14ac:dyDescent="0.25">
      <c r="A60" s="23">
        <v>34</v>
      </c>
      <c r="B60" s="50" t="s">
        <v>92</v>
      </c>
      <c r="C60" s="50"/>
      <c r="D60" s="23" t="s">
        <v>5</v>
      </c>
      <c r="E60" s="25">
        <v>4.8000000000000001E-2</v>
      </c>
      <c r="F60" s="26"/>
      <c r="G60" s="26">
        <f t="shared" si="2"/>
        <v>0</v>
      </c>
      <c r="H60" s="26" t="s">
        <v>218</v>
      </c>
    </row>
    <row r="61" spans="1:8" ht="45" hidden="1" x14ac:dyDescent="0.25">
      <c r="A61" s="23">
        <v>35</v>
      </c>
      <c r="B61" s="50" t="s">
        <v>4</v>
      </c>
      <c r="C61" s="50"/>
      <c r="D61" s="23" t="s">
        <v>6</v>
      </c>
      <c r="E61" s="25">
        <v>18.899999999999999</v>
      </c>
      <c r="F61" s="26"/>
      <c r="G61" s="26">
        <f t="shared" si="2"/>
        <v>0</v>
      </c>
      <c r="H61" s="26" t="s">
        <v>219</v>
      </c>
    </row>
    <row r="62" spans="1:8" ht="30" hidden="1" x14ac:dyDescent="0.25">
      <c r="A62" s="23">
        <v>36</v>
      </c>
      <c r="B62" s="50" t="s">
        <v>28</v>
      </c>
      <c r="C62" s="50"/>
      <c r="D62" s="23" t="s">
        <v>6</v>
      </c>
      <c r="E62" s="25">
        <v>18.899999999999999</v>
      </c>
      <c r="F62" s="26"/>
      <c r="G62" s="26">
        <f t="shared" si="2"/>
        <v>0</v>
      </c>
      <c r="H62" s="26" t="s">
        <v>219</v>
      </c>
    </row>
    <row r="63" spans="1:8" ht="45" hidden="1" x14ac:dyDescent="0.25">
      <c r="A63" s="23">
        <v>37</v>
      </c>
      <c r="B63" s="50" t="s">
        <v>91</v>
      </c>
      <c r="C63" s="50"/>
      <c r="D63" s="23" t="s">
        <v>8</v>
      </c>
      <c r="E63" s="25">
        <v>96</v>
      </c>
      <c r="F63" s="26"/>
      <c r="G63" s="26">
        <f t="shared" si="2"/>
        <v>0</v>
      </c>
      <c r="H63" s="26" t="s">
        <v>219</v>
      </c>
    </row>
    <row r="64" spans="1:8" hidden="1" x14ac:dyDescent="0.25">
      <c r="A64" s="23">
        <v>38</v>
      </c>
      <c r="B64" s="50" t="s">
        <v>223</v>
      </c>
      <c r="C64" s="50"/>
      <c r="D64" s="23" t="s">
        <v>8</v>
      </c>
      <c r="E64" s="25">
        <v>96</v>
      </c>
      <c r="F64" s="26"/>
      <c r="G64" s="26">
        <f t="shared" si="2"/>
        <v>0</v>
      </c>
      <c r="H64" s="26" t="s">
        <v>218</v>
      </c>
    </row>
    <row r="65" spans="1:18" ht="30" hidden="1" x14ac:dyDescent="0.25">
      <c r="A65" s="23">
        <v>39</v>
      </c>
      <c r="B65" s="50" t="s">
        <v>12</v>
      </c>
      <c r="C65" s="50"/>
      <c r="D65" s="23" t="s">
        <v>8</v>
      </c>
      <c r="E65" s="25">
        <v>96</v>
      </c>
      <c r="F65" s="26"/>
      <c r="G65" s="26">
        <f t="shared" si="2"/>
        <v>0</v>
      </c>
      <c r="H65" s="26" t="s">
        <v>219</v>
      </c>
    </row>
    <row r="66" spans="1:18" ht="30" hidden="1" x14ac:dyDescent="0.25">
      <c r="A66" s="23">
        <v>40</v>
      </c>
      <c r="B66" s="50" t="s">
        <v>144</v>
      </c>
      <c r="C66" s="50"/>
      <c r="D66" s="23" t="s">
        <v>8</v>
      </c>
      <c r="E66" s="25">
        <v>96</v>
      </c>
      <c r="F66" s="26"/>
      <c r="G66" s="26">
        <f t="shared" si="2"/>
        <v>0</v>
      </c>
      <c r="H66" s="26" t="s">
        <v>218</v>
      </c>
    </row>
    <row r="67" spans="1:18" ht="30" hidden="1" x14ac:dyDescent="0.25">
      <c r="A67" s="23">
        <v>41</v>
      </c>
      <c r="B67" s="50" t="s">
        <v>90</v>
      </c>
      <c r="C67" s="50"/>
      <c r="D67" s="23" t="s">
        <v>87</v>
      </c>
      <c r="E67" s="25">
        <v>6</v>
      </c>
      <c r="F67" s="26"/>
      <c r="G67" s="26">
        <f t="shared" si="2"/>
        <v>0</v>
      </c>
      <c r="H67" s="26" t="s">
        <v>219</v>
      </c>
    </row>
    <row r="68" spans="1:18" ht="30" hidden="1" x14ac:dyDescent="0.25">
      <c r="A68" s="23">
        <v>42</v>
      </c>
      <c r="B68" s="50" t="s">
        <v>89</v>
      </c>
      <c r="C68" s="50"/>
      <c r="D68" s="23" t="s">
        <v>8</v>
      </c>
      <c r="E68" s="25">
        <v>6</v>
      </c>
      <c r="F68" s="26"/>
      <c r="G68" s="26">
        <f t="shared" si="2"/>
        <v>0</v>
      </c>
      <c r="H68" s="26" t="s">
        <v>218</v>
      </c>
    </row>
    <row r="69" spans="1:18" ht="30" hidden="1" x14ac:dyDescent="0.25">
      <c r="A69" s="23">
        <v>43</v>
      </c>
      <c r="B69" s="50" t="s">
        <v>88</v>
      </c>
      <c r="C69" s="50"/>
      <c r="D69" s="23" t="s">
        <v>87</v>
      </c>
      <c r="E69" s="25">
        <v>6</v>
      </c>
      <c r="F69" s="26"/>
      <c r="G69" s="26">
        <f t="shared" si="2"/>
        <v>0</v>
      </c>
      <c r="H69" s="26" t="s">
        <v>219</v>
      </c>
    </row>
    <row r="70" spans="1:18" ht="30" hidden="1" x14ac:dyDescent="0.25">
      <c r="A70" s="23">
        <v>44</v>
      </c>
      <c r="B70" s="50" t="s">
        <v>86</v>
      </c>
      <c r="C70" s="50"/>
      <c r="D70" s="23" t="s">
        <v>8</v>
      </c>
      <c r="E70" s="25">
        <v>6</v>
      </c>
      <c r="F70" s="26"/>
      <c r="G70" s="26">
        <f t="shared" si="2"/>
        <v>0</v>
      </c>
      <c r="H70" s="26" t="s">
        <v>218</v>
      </c>
    </row>
    <row r="71" spans="1:18" ht="30" hidden="1" x14ac:dyDescent="0.25">
      <c r="A71" s="23">
        <v>45</v>
      </c>
      <c r="B71" s="50" t="s">
        <v>85</v>
      </c>
      <c r="C71" s="50"/>
      <c r="D71" s="23" t="s">
        <v>8</v>
      </c>
      <c r="E71" s="25">
        <v>96</v>
      </c>
      <c r="F71" s="26"/>
      <c r="G71" s="26">
        <f t="shared" si="2"/>
        <v>0</v>
      </c>
      <c r="H71" s="26" t="s">
        <v>219</v>
      </c>
    </row>
    <row r="72" spans="1:18" ht="30" hidden="1" x14ac:dyDescent="0.25">
      <c r="A72" s="23">
        <v>46</v>
      </c>
      <c r="B72" s="50" t="s">
        <v>84</v>
      </c>
      <c r="C72" s="50"/>
      <c r="D72" s="23" t="s">
        <v>8</v>
      </c>
      <c r="E72" s="25">
        <v>96</v>
      </c>
      <c r="F72" s="26"/>
      <c r="G72" s="26">
        <f t="shared" si="2"/>
        <v>0</v>
      </c>
      <c r="H72" s="26" t="s">
        <v>218</v>
      </c>
    </row>
    <row r="73" spans="1:18" ht="45" hidden="1" x14ac:dyDescent="0.25">
      <c r="A73" s="23">
        <v>47</v>
      </c>
      <c r="B73" s="50" t="s">
        <v>83</v>
      </c>
      <c r="C73" s="50"/>
      <c r="D73" s="23" t="s">
        <v>8</v>
      </c>
      <c r="E73" s="25">
        <v>6</v>
      </c>
      <c r="F73" s="26"/>
      <c r="G73" s="26">
        <f t="shared" si="2"/>
        <v>0</v>
      </c>
      <c r="H73" s="26" t="s">
        <v>219</v>
      </c>
    </row>
    <row r="74" spans="1:18" ht="30" hidden="1" x14ac:dyDescent="0.25">
      <c r="A74" s="23">
        <v>48</v>
      </c>
      <c r="B74" s="50" t="s">
        <v>162</v>
      </c>
      <c r="C74" s="50"/>
      <c r="D74" s="23" t="s">
        <v>8</v>
      </c>
      <c r="E74" s="25">
        <v>6</v>
      </c>
      <c r="F74" s="26"/>
      <c r="G74" s="26">
        <f t="shared" si="2"/>
        <v>0</v>
      </c>
      <c r="H74" s="26" t="s">
        <v>218</v>
      </c>
    </row>
    <row r="75" spans="1:18" s="58" customFormat="1" ht="45" hidden="1" x14ac:dyDescent="0.25">
      <c r="A75" s="53">
        <v>49</v>
      </c>
      <c r="B75" s="54" t="s">
        <v>224</v>
      </c>
      <c r="C75" s="54"/>
      <c r="D75" s="53" t="s">
        <v>9</v>
      </c>
      <c r="E75" s="55">
        <v>210</v>
      </c>
      <c r="F75" s="56"/>
      <c r="G75" s="56">
        <f t="shared" si="2"/>
        <v>0</v>
      </c>
      <c r="H75" s="56" t="s">
        <v>219</v>
      </c>
      <c r="I75" s="57"/>
      <c r="J75" s="57"/>
      <c r="K75" s="57"/>
      <c r="L75" s="57"/>
      <c r="M75" s="57"/>
      <c r="N75" s="57"/>
      <c r="O75" s="57"/>
      <c r="P75" s="57"/>
      <c r="Q75" s="57"/>
      <c r="R75" s="57"/>
    </row>
    <row r="76" spans="1:18" s="58" customFormat="1" ht="60" hidden="1" x14ac:dyDescent="0.25">
      <c r="A76" s="53">
        <v>50</v>
      </c>
      <c r="B76" s="54" t="s">
        <v>80</v>
      </c>
      <c r="C76" s="54"/>
      <c r="D76" s="53" t="s">
        <v>9</v>
      </c>
      <c r="E76" s="55">
        <v>96.000000000000014</v>
      </c>
      <c r="F76" s="56"/>
      <c r="G76" s="56">
        <f t="shared" si="2"/>
        <v>0</v>
      </c>
      <c r="H76" s="56" t="s">
        <v>219</v>
      </c>
      <c r="I76" s="57"/>
      <c r="J76" s="57"/>
      <c r="K76" s="57"/>
      <c r="L76" s="57"/>
      <c r="M76" s="57"/>
      <c r="N76" s="57"/>
      <c r="O76" s="57"/>
      <c r="P76" s="57"/>
      <c r="Q76" s="57"/>
      <c r="R76" s="57"/>
    </row>
    <row r="77" spans="1:18" s="58" customFormat="1" ht="60" hidden="1" x14ac:dyDescent="0.25">
      <c r="A77" s="53">
        <v>51</v>
      </c>
      <c r="B77" s="54" t="s">
        <v>79</v>
      </c>
      <c r="C77" s="54"/>
      <c r="D77" s="53" t="s">
        <v>9</v>
      </c>
      <c r="E77" s="55">
        <v>36</v>
      </c>
      <c r="F77" s="56"/>
      <c r="G77" s="56">
        <f t="shared" si="2"/>
        <v>0</v>
      </c>
      <c r="H77" s="56" t="s">
        <v>219</v>
      </c>
      <c r="I77" s="57"/>
      <c r="J77" s="57"/>
      <c r="K77" s="57"/>
      <c r="L77" s="57"/>
      <c r="M77" s="57"/>
      <c r="N77" s="57"/>
      <c r="O77" s="57"/>
      <c r="P77" s="57"/>
      <c r="Q77" s="57"/>
      <c r="R77" s="57"/>
    </row>
    <row r="78" spans="1:18" s="58" customFormat="1" ht="45" hidden="1" x14ac:dyDescent="0.25">
      <c r="A78" s="53">
        <v>52</v>
      </c>
      <c r="B78" s="54" t="s">
        <v>225</v>
      </c>
      <c r="C78" s="54"/>
      <c r="D78" s="53" t="s">
        <v>9</v>
      </c>
      <c r="E78" s="55">
        <v>210</v>
      </c>
      <c r="F78" s="56"/>
      <c r="G78" s="56">
        <f t="shared" si="2"/>
        <v>0</v>
      </c>
      <c r="H78" s="56" t="s">
        <v>219</v>
      </c>
      <c r="I78" s="57"/>
      <c r="J78" s="57"/>
      <c r="K78" s="57"/>
      <c r="L78" s="57"/>
      <c r="M78" s="57"/>
      <c r="N78" s="57"/>
      <c r="O78" s="57"/>
      <c r="P78" s="57"/>
      <c r="Q78" s="57"/>
      <c r="R78" s="57"/>
    </row>
    <row r="79" spans="1:18" s="58" customFormat="1" ht="45" hidden="1" x14ac:dyDescent="0.25">
      <c r="A79" s="53">
        <v>53</v>
      </c>
      <c r="B79" s="54" t="s">
        <v>226</v>
      </c>
      <c r="C79" s="54"/>
      <c r="D79" s="53" t="s">
        <v>9</v>
      </c>
      <c r="E79" s="55">
        <v>480</v>
      </c>
      <c r="F79" s="56"/>
      <c r="G79" s="56">
        <f t="shared" si="2"/>
        <v>0</v>
      </c>
      <c r="H79" s="56" t="s">
        <v>219</v>
      </c>
      <c r="I79" s="57"/>
      <c r="J79" s="57"/>
      <c r="K79" s="57"/>
      <c r="L79" s="57"/>
      <c r="M79" s="57"/>
      <c r="N79" s="57"/>
      <c r="O79" s="57"/>
      <c r="P79" s="57"/>
      <c r="Q79" s="57"/>
      <c r="R79" s="57"/>
    </row>
    <row r="80" spans="1:18" s="58" customFormat="1" ht="45" hidden="1" x14ac:dyDescent="0.25">
      <c r="A80" s="53">
        <v>54</v>
      </c>
      <c r="B80" s="54" t="s">
        <v>220</v>
      </c>
      <c r="C80" s="54"/>
      <c r="D80" s="53" t="s">
        <v>9</v>
      </c>
      <c r="E80" s="55">
        <v>1440</v>
      </c>
      <c r="F80" s="56"/>
      <c r="G80" s="56">
        <f t="shared" si="2"/>
        <v>0</v>
      </c>
      <c r="H80" s="56" t="s">
        <v>219</v>
      </c>
      <c r="I80" s="57"/>
      <c r="J80" s="57"/>
      <c r="K80" s="57"/>
      <c r="L80" s="57"/>
      <c r="M80" s="57"/>
      <c r="N80" s="57"/>
      <c r="O80" s="57"/>
      <c r="P80" s="57"/>
      <c r="Q80" s="57"/>
      <c r="R80" s="57"/>
    </row>
    <row r="81" spans="1:18" s="58" customFormat="1" ht="45" hidden="1" x14ac:dyDescent="0.25">
      <c r="A81" s="53">
        <v>55</v>
      </c>
      <c r="B81" s="54" t="s">
        <v>221</v>
      </c>
      <c r="C81" s="54"/>
      <c r="D81" s="53" t="s">
        <v>9</v>
      </c>
      <c r="E81" s="55">
        <v>480</v>
      </c>
      <c r="F81" s="56"/>
      <c r="G81" s="56">
        <f t="shared" si="2"/>
        <v>0</v>
      </c>
      <c r="H81" s="56" t="s">
        <v>219</v>
      </c>
      <c r="I81" s="57"/>
      <c r="J81" s="57"/>
      <c r="K81" s="57"/>
      <c r="L81" s="57"/>
      <c r="M81" s="57"/>
      <c r="N81" s="57"/>
      <c r="O81" s="57"/>
      <c r="P81" s="57"/>
      <c r="Q81" s="57"/>
      <c r="R81" s="57"/>
    </row>
    <row r="82" spans="1:18" ht="30" hidden="1" x14ac:dyDescent="0.25">
      <c r="A82" s="23">
        <v>56</v>
      </c>
      <c r="B82" s="50" t="s">
        <v>14</v>
      </c>
      <c r="C82" s="50"/>
      <c r="D82" s="23" t="s">
        <v>9</v>
      </c>
      <c r="E82" s="25">
        <v>2850</v>
      </c>
      <c r="F82" s="26"/>
      <c r="G82" s="26">
        <f t="shared" si="2"/>
        <v>0</v>
      </c>
      <c r="H82" s="56" t="s">
        <v>219</v>
      </c>
    </row>
    <row r="83" spans="1:18" ht="30" hidden="1" x14ac:dyDescent="0.25">
      <c r="A83" s="23">
        <v>57</v>
      </c>
      <c r="B83" s="50" t="s">
        <v>14</v>
      </c>
      <c r="C83" s="50"/>
      <c r="D83" s="23" t="s">
        <v>9</v>
      </c>
      <c r="E83" s="25">
        <v>180</v>
      </c>
      <c r="F83" s="26"/>
      <c r="G83" s="26">
        <f t="shared" si="2"/>
        <v>0</v>
      </c>
      <c r="H83" s="26" t="s">
        <v>219</v>
      </c>
    </row>
    <row r="84" spans="1:18" ht="30" hidden="1" x14ac:dyDescent="0.25">
      <c r="A84" s="23">
        <v>58</v>
      </c>
      <c r="B84" s="50" t="s">
        <v>73</v>
      </c>
      <c r="C84" s="50"/>
      <c r="D84" s="23" t="s">
        <v>9</v>
      </c>
      <c r="E84" s="25">
        <v>636.00000000000011</v>
      </c>
      <c r="F84" s="26"/>
      <c r="G84" s="26">
        <f t="shared" si="2"/>
        <v>0</v>
      </c>
      <c r="H84" s="26" t="s">
        <v>219</v>
      </c>
    </row>
    <row r="85" spans="1:18" ht="30" hidden="1" x14ac:dyDescent="0.25">
      <c r="A85" s="23">
        <v>59</v>
      </c>
      <c r="B85" s="50" t="s">
        <v>169</v>
      </c>
      <c r="C85" s="50"/>
      <c r="D85" s="23" t="s">
        <v>9</v>
      </c>
      <c r="E85" s="25">
        <v>252</v>
      </c>
      <c r="F85" s="26"/>
      <c r="G85" s="26">
        <f t="shared" si="2"/>
        <v>0</v>
      </c>
      <c r="H85" s="26" t="s">
        <v>218</v>
      </c>
    </row>
    <row r="86" spans="1:18" ht="30" hidden="1" x14ac:dyDescent="0.25">
      <c r="A86" s="23">
        <v>60</v>
      </c>
      <c r="B86" s="50" t="s">
        <v>72</v>
      </c>
      <c r="C86" s="50"/>
      <c r="D86" s="23" t="s">
        <v>9</v>
      </c>
      <c r="E86" s="25">
        <v>1956</v>
      </c>
      <c r="F86" s="26"/>
      <c r="G86" s="26">
        <f t="shared" si="2"/>
        <v>0</v>
      </c>
      <c r="H86" s="26" t="s">
        <v>218</v>
      </c>
    </row>
    <row r="87" spans="1:18" hidden="1" x14ac:dyDescent="0.25">
      <c r="A87" s="23">
        <v>61</v>
      </c>
      <c r="B87" s="50" t="s">
        <v>71</v>
      </c>
      <c r="C87" s="50"/>
      <c r="D87" s="23" t="s">
        <v>9</v>
      </c>
      <c r="E87" s="25">
        <v>1530</v>
      </c>
      <c r="F87" s="26"/>
      <c r="G87" s="26">
        <f t="shared" si="2"/>
        <v>0</v>
      </c>
      <c r="H87" s="26" t="s">
        <v>218</v>
      </c>
    </row>
    <row r="88" spans="1:18" ht="45" hidden="1" x14ac:dyDescent="0.25">
      <c r="A88" s="23">
        <v>62</v>
      </c>
      <c r="B88" s="50" t="s">
        <v>70</v>
      </c>
      <c r="C88" s="50"/>
      <c r="D88" s="23" t="s">
        <v>9</v>
      </c>
      <c r="E88" s="25">
        <v>1956</v>
      </c>
      <c r="F88" s="26"/>
      <c r="G88" s="26">
        <f t="shared" si="2"/>
        <v>0</v>
      </c>
      <c r="H88" s="26" t="s">
        <v>218</v>
      </c>
    </row>
    <row r="89" spans="1:18" ht="30" hidden="1" x14ac:dyDescent="0.25">
      <c r="A89" s="23">
        <v>63</v>
      </c>
      <c r="B89" s="50" t="s">
        <v>69</v>
      </c>
      <c r="C89" s="50"/>
      <c r="D89" s="23" t="s">
        <v>9</v>
      </c>
      <c r="E89" s="25">
        <v>738</v>
      </c>
      <c r="F89" s="26"/>
      <c r="G89" s="26">
        <f t="shared" si="2"/>
        <v>0</v>
      </c>
      <c r="H89" s="26" t="s">
        <v>218</v>
      </c>
    </row>
    <row r="90" spans="1:18" ht="60" hidden="1" x14ac:dyDescent="0.25">
      <c r="A90" s="23">
        <v>64</v>
      </c>
      <c r="B90" s="50" t="s">
        <v>227</v>
      </c>
      <c r="C90" s="50"/>
      <c r="D90" s="23" t="s">
        <v>9</v>
      </c>
      <c r="E90" s="25">
        <v>312</v>
      </c>
      <c r="F90" s="26"/>
      <c r="G90" s="26">
        <f t="shared" si="2"/>
        <v>0</v>
      </c>
      <c r="H90" s="26" t="s">
        <v>218</v>
      </c>
    </row>
    <row r="91" spans="1:18" ht="60" hidden="1" x14ac:dyDescent="0.25">
      <c r="A91" s="23">
        <v>65</v>
      </c>
      <c r="B91" s="50" t="s">
        <v>228</v>
      </c>
      <c r="C91" s="50"/>
      <c r="D91" s="23" t="s">
        <v>106</v>
      </c>
      <c r="E91" s="25">
        <v>6</v>
      </c>
      <c r="F91" s="26"/>
      <c r="G91" s="26">
        <f t="shared" si="2"/>
        <v>0</v>
      </c>
      <c r="H91" s="26" t="s">
        <v>219</v>
      </c>
    </row>
    <row r="92" spans="1:18" hidden="1" x14ac:dyDescent="0.25">
      <c r="A92" s="23">
        <v>66</v>
      </c>
      <c r="B92" s="50" t="s">
        <v>143</v>
      </c>
      <c r="C92" s="50"/>
      <c r="D92" s="23" t="s">
        <v>8</v>
      </c>
      <c r="E92" s="25">
        <v>6</v>
      </c>
      <c r="F92" s="26"/>
      <c r="G92" s="26">
        <f t="shared" si="2"/>
        <v>0</v>
      </c>
      <c r="H92" s="26" t="s">
        <v>218</v>
      </c>
    </row>
    <row r="93" spans="1:18" ht="30" hidden="1" x14ac:dyDescent="0.25">
      <c r="A93" s="23">
        <v>67</v>
      </c>
      <c r="B93" s="50" t="s">
        <v>109</v>
      </c>
      <c r="C93" s="50"/>
      <c r="D93" s="23" t="s">
        <v>5</v>
      </c>
      <c r="E93" s="25">
        <v>0.111</v>
      </c>
      <c r="F93" s="26"/>
      <c r="G93" s="26">
        <f t="shared" si="2"/>
        <v>0</v>
      </c>
      <c r="H93" s="26" t="s">
        <v>219</v>
      </c>
    </row>
    <row r="94" spans="1:18" hidden="1" x14ac:dyDescent="0.25">
      <c r="A94" s="23">
        <v>68</v>
      </c>
      <c r="B94" s="50" t="s">
        <v>108</v>
      </c>
      <c r="C94" s="50"/>
      <c r="D94" s="23" t="s">
        <v>8</v>
      </c>
      <c r="E94" s="25">
        <v>6</v>
      </c>
      <c r="F94" s="26"/>
      <c r="G94" s="26">
        <f t="shared" si="2"/>
        <v>0</v>
      </c>
      <c r="H94" s="26" t="s">
        <v>218</v>
      </c>
    </row>
    <row r="95" spans="1:18" ht="45" hidden="1" x14ac:dyDescent="0.25">
      <c r="A95" s="23">
        <v>69</v>
      </c>
      <c r="B95" s="50" t="s">
        <v>107</v>
      </c>
      <c r="C95" s="50"/>
      <c r="D95" s="23" t="s">
        <v>106</v>
      </c>
      <c r="E95" s="25">
        <v>6</v>
      </c>
      <c r="F95" s="26"/>
      <c r="G95" s="26">
        <f t="shared" si="2"/>
        <v>0</v>
      </c>
      <c r="H95" s="26" t="s">
        <v>219</v>
      </c>
    </row>
    <row r="96" spans="1:18" hidden="1" x14ac:dyDescent="0.25">
      <c r="A96" s="23">
        <v>70</v>
      </c>
      <c r="B96" s="50" t="s">
        <v>142</v>
      </c>
      <c r="C96" s="50"/>
      <c r="D96" s="23" t="s">
        <v>8</v>
      </c>
      <c r="E96" s="25">
        <v>6</v>
      </c>
      <c r="F96" s="26"/>
      <c r="G96" s="26">
        <f t="shared" si="2"/>
        <v>0</v>
      </c>
      <c r="H96" s="26" t="s">
        <v>218</v>
      </c>
    </row>
    <row r="97" spans="1:18" ht="30" hidden="1" x14ac:dyDescent="0.25">
      <c r="A97" s="23">
        <v>71</v>
      </c>
      <c r="B97" s="50" t="s">
        <v>105</v>
      </c>
      <c r="C97" s="50"/>
      <c r="D97" s="23" t="s">
        <v>8</v>
      </c>
      <c r="E97" s="25">
        <v>6</v>
      </c>
      <c r="F97" s="26"/>
      <c r="G97" s="26">
        <f t="shared" si="2"/>
        <v>0</v>
      </c>
      <c r="H97" s="26" t="s">
        <v>219</v>
      </c>
    </row>
    <row r="98" spans="1:18" ht="45" hidden="1" x14ac:dyDescent="0.25">
      <c r="A98" s="23">
        <v>72</v>
      </c>
      <c r="B98" s="50" t="s">
        <v>141</v>
      </c>
      <c r="C98" s="50"/>
      <c r="D98" s="23" t="s">
        <v>8</v>
      </c>
      <c r="E98" s="25">
        <v>6</v>
      </c>
      <c r="F98" s="26"/>
      <c r="G98" s="26">
        <f t="shared" si="2"/>
        <v>0</v>
      </c>
      <c r="H98" s="26" t="s">
        <v>218</v>
      </c>
    </row>
    <row r="99" spans="1:18" ht="30" hidden="1" x14ac:dyDescent="0.25">
      <c r="A99" s="23">
        <v>73</v>
      </c>
      <c r="B99" s="50" t="s">
        <v>104</v>
      </c>
      <c r="C99" s="50"/>
      <c r="D99" s="23" t="s">
        <v>8</v>
      </c>
      <c r="E99" s="25">
        <v>6</v>
      </c>
      <c r="F99" s="26"/>
      <c r="G99" s="26">
        <f t="shared" ref="G99:G162" si="3">E99*F99</f>
        <v>0</v>
      </c>
      <c r="H99" s="26" t="s">
        <v>219</v>
      </c>
    </row>
    <row r="100" spans="1:18" ht="30" hidden="1" x14ac:dyDescent="0.25">
      <c r="A100" s="23">
        <v>74</v>
      </c>
      <c r="B100" s="50" t="s">
        <v>120</v>
      </c>
      <c r="C100" s="50"/>
      <c r="D100" s="23" t="s">
        <v>8</v>
      </c>
      <c r="E100" s="25">
        <v>6</v>
      </c>
      <c r="F100" s="26"/>
      <c r="G100" s="26">
        <f t="shared" si="3"/>
        <v>0</v>
      </c>
      <c r="H100" s="26" t="s">
        <v>218</v>
      </c>
    </row>
    <row r="101" spans="1:18" ht="30" hidden="1" x14ac:dyDescent="0.25">
      <c r="A101" s="23">
        <v>75</v>
      </c>
      <c r="B101" s="50" t="s">
        <v>103</v>
      </c>
      <c r="C101" s="50"/>
      <c r="D101" s="23" t="s">
        <v>87</v>
      </c>
      <c r="E101" s="25">
        <v>24</v>
      </c>
      <c r="F101" s="26"/>
      <c r="G101" s="26">
        <f t="shared" si="3"/>
        <v>0</v>
      </c>
      <c r="H101" s="26" t="s">
        <v>219</v>
      </c>
    </row>
    <row r="102" spans="1:18" ht="30" hidden="1" x14ac:dyDescent="0.25">
      <c r="A102" s="23">
        <v>76</v>
      </c>
      <c r="B102" s="50" t="s">
        <v>163</v>
      </c>
      <c r="C102" s="50"/>
      <c r="D102" s="23" t="s">
        <v>8</v>
      </c>
      <c r="E102" s="25">
        <v>24</v>
      </c>
      <c r="F102" s="26"/>
      <c r="G102" s="26">
        <f t="shared" si="3"/>
        <v>0</v>
      </c>
      <c r="H102" s="26" t="s">
        <v>218</v>
      </c>
    </row>
    <row r="103" spans="1:18" ht="30" hidden="1" x14ac:dyDescent="0.25">
      <c r="A103" s="23">
        <v>77</v>
      </c>
      <c r="B103" s="50" t="s">
        <v>102</v>
      </c>
      <c r="C103" s="50"/>
      <c r="D103" s="23" t="s">
        <v>8</v>
      </c>
      <c r="E103" s="25">
        <v>24</v>
      </c>
      <c r="F103" s="26"/>
      <c r="G103" s="26">
        <f t="shared" si="3"/>
        <v>0</v>
      </c>
      <c r="H103" s="26" t="s">
        <v>219</v>
      </c>
    </row>
    <row r="104" spans="1:18" ht="30" hidden="1" x14ac:dyDescent="0.25">
      <c r="A104" s="23">
        <v>78</v>
      </c>
      <c r="B104" s="50" t="s">
        <v>125</v>
      </c>
      <c r="C104" s="50"/>
      <c r="D104" s="23" t="s">
        <v>8</v>
      </c>
      <c r="E104" s="25">
        <v>24</v>
      </c>
      <c r="F104" s="26"/>
      <c r="G104" s="26">
        <f t="shared" si="3"/>
        <v>0</v>
      </c>
      <c r="H104" s="26" t="s">
        <v>218</v>
      </c>
    </row>
    <row r="105" spans="1:18" ht="30" hidden="1" x14ac:dyDescent="0.25">
      <c r="A105" s="23">
        <v>79</v>
      </c>
      <c r="B105" s="50" t="s">
        <v>101</v>
      </c>
      <c r="C105" s="50"/>
      <c r="D105" s="23" t="s">
        <v>8</v>
      </c>
      <c r="E105" s="25">
        <v>96</v>
      </c>
      <c r="F105" s="26"/>
      <c r="G105" s="26">
        <f t="shared" si="3"/>
        <v>0</v>
      </c>
      <c r="H105" s="26" t="s">
        <v>219</v>
      </c>
    </row>
    <row r="106" spans="1:18" ht="30" hidden="1" x14ac:dyDescent="0.25">
      <c r="A106" s="23">
        <v>80</v>
      </c>
      <c r="B106" s="50" t="s">
        <v>164</v>
      </c>
      <c r="C106" s="50"/>
      <c r="D106" s="23" t="s">
        <v>8</v>
      </c>
      <c r="E106" s="25">
        <v>96</v>
      </c>
      <c r="F106" s="26"/>
      <c r="G106" s="26">
        <f t="shared" si="3"/>
        <v>0</v>
      </c>
      <c r="H106" s="26" t="s">
        <v>218</v>
      </c>
    </row>
    <row r="107" spans="1:18" s="58" customFormat="1" ht="60" hidden="1" x14ac:dyDescent="0.25">
      <c r="A107" s="53">
        <v>81</v>
      </c>
      <c r="B107" s="54" t="s">
        <v>80</v>
      </c>
      <c r="C107" s="54"/>
      <c r="D107" s="53" t="s">
        <v>9</v>
      </c>
      <c r="E107" s="55">
        <v>120</v>
      </c>
      <c r="F107" s="56"/>
      <c r="G107" s="56">
        <f t="shared" si="3"/>
        <v>0</v>
      </c>
      <c r="H107" s="56" t="s">
        <v>219</v>
      </c>
      <c r="I107" s="57"/>
      <c r="J107" s="57"/>
      <c r="K107" s="57"/>
      <c r="L107" s="57"/>
      <c r="M107" s="57"/>
      <c r="N107" s="57"/>
      <c r="O107" s="57"/>
      <c r="P107" s="57"/>
      <c r="Q107" s="57"/>
      <c r="R107" s="57"/>
    </row>
    <row r="108" spans="1:18" s="58" customFormat="1" ht="45" hidden="1" x14ac:dyDescent="0.25">
      <c r="A108" s="53">
        <v>82</v>
      </c>
      <c r="B108" s="54" t="s">
        <v>220</v>
      </c>
      <c r="C108" s="54"/>
      <c r="D108" s="53" t="s">
        <v>9</v>
      </c>
      <c r="E108" s="55">
        <v>1260</v>
      </c>
      <c r="F108" s="56"/>
      <c r="G108" s="56">
        <f t="shared" si="3"/>
        <v>0</v>
      </c>
      <c r="H108" s="56" t="s">
        <v>219</v>
      </c>
      <c r="I108" s="57"/>
      <c r="J108" s="57"/>
      <c r="K108" s="57"/>
      <c r="L108" s="57"/>
      <c r="M108" s="57"/>
      <c r="N108" s="57"/>
      <c r="O108" s="57"/>
      <c r="P108" s="57"/>
      <c r="Q108" s="57"/>
      <c r="R108" s="57"/>
    </row>
    <row r="109" spans="1:18" s="58" customFormat="1" ht="45" hidden="1" x14ac:dyDescent="0.25">
      <c r="A109" s="53">
        <v>83</v>
      </c>
      <c r="B109" s="54" t="s">
        <v>221</v>
      </c>
      <c r="C109" s="54"/>
      <c r="D109" s="53" t="s">
        <v>9</v>
      </c>
      <c r="E109" s="55">
        <v>480</v>
      </c>
      <c r="F109" s="56"/>
      <c r="G109" s="56">
        <f t="shared" si="3"/>
        <v>0</v>
      </c>
      <c r="H109" s="56" t="s">
        <v>219</v>
      </c>
      <c r="I109" s="57"/>
      <c r="J109" s="57"/>
      <c r="K109" s="57"/>
      <c r="L109" s="57"/>
      <c r="M109" s="57"/>
      <c r="N109" s="57"/>
      <c r="O109" s="57"/>
      <c r="P109" s="57"/>
      <c r="Q109" s="57"/>
      <c r="R109" s="57"/>
    </row>
    <row r="110" spans="1:18" ht="30" hidden="1" x14ac:dyDescent="0.25">
      <c r="A110" s="23">
        <v>84</v>
      </c>
      <c r="B110" s="50" t="s">
        <v>14</v>
      </c>
      <c r="C110" s="50"/>
      <c r="D110" s="23" t="s">
        <v>9</v>
      </c>
      <c r="E110" s="25">
        <v>1739.9999999999998</v>
      </c>
      <c r="F110" s="26"/>
      <c r="G110" s="26">
        <f t="shared" si="3"/>
        <v>0</v>
      </c>
      <c r="H110" s="26" t="s">
        <v>219</v>
      </c>
    </row>
    <row r="111" spans="1:18" ht="30" hidden="1" x14ac:dyDescent="0.25">
      <c r="A111" s="23">
        <v>85</v>
      </c>
      <c r="B111" s="50" t="s">
        <v>14</v>
      </c>
      <c r="C111" s="50"/>
      <c r="D111" s="23" t="s">
        <v>9</v>
      </c>
      <c r="E111" s="25">
        <v>600</v>
      </c>
      <c r="F111" s="26"/>
      <c r="G111" s="26">
        <f t="shared" si="3"/>
        <v>0</v>
      </c>
      <c r="H111" s="26" t="s">
        <v>219</v>
      </c>
    </row>
    <row r="112" spans="1:18" ht="30" hidden="1" x14ac:dyDescent="0.25">
      <c r="A112" s="23">
        <v>86</v>
      </c>
      <c r="B112" s="50" t="s">
        <v>100</v>
      </c>
      <c r="C112" s="50"/>
      <c r="D112" s="23" t="s">
        <v>9</v>
      </c>
      <c r="E112" s="25">
        <v>600</v>
      </c>
      <c r="F112" s="26"/>
      <c r="G112" s="26">
        <f t="shared" si="3"/>
        <v>0</v>
      </c>
      <c r="H112" s="26" t="s">
        <v>219</v>
      </c>
    </row>
    <row r="113" spans="1:8" ht="45" hidden="1" x14ac:dyDescent="0.25">
      <c r="A113" s="23">
        <v>87</v>
      </c>
      <c r="B113" s="50" t="s">
        <v>99</v>
      </c>
      <c r="C113" s="50"/>
      <c r="D113" s="23" t="s">
        <v>10</v>
      </c>
      <c r="E113" s="25">
        <v>2.88</v>
      </c>
      <c r="F113" s="26"/>
      <c r="G113" s="26">
        <f t="shared" si="3"/>
        <v>0</v>
      </c>
      <c r="H113" s="26" t="s">
        <v>222</v>
      </c>
    </row>
    <row r="114" spans="1:8" ht="30" hidden="1" x14ac:dyDescent="0.25">
      <c r="A114" s="23">
        <v>88</v>
      </c>
      <c r="B114" s="50" t="s">
        <v>98</v>
      </c>
      <c r="C114" s="50"/>
      <c r="D114" s="23" t="s">
        <v>9</v>
      </c>
      <c r="E114" s="25">
        <v>1224</v>
      </c>
      <c r="F114" s="26"/>
      <c r="G114" s="26">
        <f t="shared" si="3"/>
        <v>0</v>
      </c>
      <c r="H114" s="26" t="s">
        <v>218</v>
      </c>
    </row>
    <row r="115" spans="1:8" ht="30" hidden="1" x14ac:dyDescent="0.25">
      <c r="A115" s="23">
        <v>89</v>
      </c>
      <c r="B115" s="50" t="s">
        <v>29</v>
      </c>
      <c r="C115" s="50"/>
      <c r="D115" s="23" t="s">
        <v>9</v>
      </c>
      <c r="E115" s="25">
        <v>1776</v>
      </c>
      <c r="F115" s="26"/>
      <c r="G115" s="26">
        <f t="shared" si="3"/>
        <v>0</v>
      </c>
      <c r="H115" s="26" t="s">
        <v>218</v>
      </c>
    </row>
    <row r="116" spans="1:8" ht="45" hidden="1" x14ac:dyDescent="0.25">
      <c r="A116" s="23">
        <v>90</v>
      </c>
      <c r="B116" s="50" t="s">
        <v>165</v>
      </c>
      <c r="C116" s="50"/>
      <c r="D116" s="23" t="s">
        <v>9</v>
      </c>
      <c r="E116" s="25">
        <v>1776</v>
      </c>
      <c r="F116" s="26"/>
      <c r="G116" s="26">
        <f t="shared" si="3"/>
        <v>0</v>
      </c>
      <c r="H116" s="26" t="s">
        <v>218</v>
      </c>
    </row>
    <row r="117" spans="1:8" ht="60" hidden="1" x14ac:dyDescent="0.25">
      <c r="A117" s="23">
        <v>91</v>
      </c>
      <c r="B117" s="50" t="s">
        <v>229</v>
      </c>
      <c r="C117" s="50"/>
      <c r="D117" s="23" t="s">
        <v>9</v>
      </c>
      <c r="E117" s="25">
        <v>120</v>
      </c>
      <c r="F117" s="26"/>
      <c r="G117" s="26">
        <f t="shared" si="3"/>
        <v>0</v>
      </c>
      <c r="H117" s="26" t="s">
        <v>218</v>
      </c>
    </row>
    <row r="118" spans="1:8" ht="30" hidden="1" x14ac:dyDescent="0.25">
      <c r="A118" s="23">
        <v>92</v>
      </c>
      <c r="B118" s="50" t="s">
        <v>97</v>
      </c>
      <c r="C118" s="50"/>
      <c r="D118" s="23" t="s">
        <v>8</v>
      </c>
      <c r="E118" s="25">
        <v>18</v>
      </c>
      <c r="F118" s="26"/>
      <c r="G118" s="26">
        <f t="shared" si="3"/>
        <v>0</v>
      </c>
      <c r="H118" s="26" t="s">
        <v>219</v>
      </c>
    </row>
    <row r="119" spans="1:8" ht="30" hidden="1" x14ac:dyDescent="0.25">
      <c r="A119" s="23">
        <v>93</v>
      </c>
      <c r="B119" s="50" t="s">
        <v>96</v>
      </c>
      <c r="C119" s="50"/>
      <c r="D119" s="23" t="s">
        <v>11</v>
      </c>
      <c r="E119" s="25">
        <v>66.599999999999994</v>
      </c>
      <c r="F119" s="26"/>
      <c r="G119" s="26">
        <f t="shared" si="3"/>
        <v>0</v>
      </c>
      <c r="H119" s="26" t="s">
        <v>218</v>
      </c>
    </row>
    <row r="120" spans="1:8" ht="45" hidden="1" x14ac:dyDescent="0.25">
      <c r="A120" s="23">
        <v>94</v>
      </c>
      <c r="B120" s="50" t="s">
        <v>95</v>
      </c>
      <c r="C120" s="50"/>
      <c r="D120" s="23" t="s">
        <v>9</v>
      </c>
      <c r="E120" s="25">
        <v>90</v>
      </c>
      <c r="F120" s="26"/>
      <c r="G120" s="26">
        <f t="shared" si="3"/>
        <v>0</v>
      </c>
      <c r="H120" s="26" t="s">
        <v>219</v>
      </c>
    </row>
    <row r="121" spans="1:8" ht="30" hidden="1" x14ac:dyDescent="0.25">
      <c r="A121" s="23">
        <v>95</v>
      </c>
      <c r="B121" s="50" t="s">
        <v>161</v>
      </c>
      <c r="C121" s="50"/>
      <c r="D121" s="23" t="s">
        <v>5</v>
      </c>
      <c r="E121" s="25">
        <v>1.9E-2</v>
      </c>
      <c r="F121" s="26"/>
      <c r="G121" s="26">
        <f t="shared" si="3"/>
        <v>0</v>
      </c>
      <c r="H121" s="26" t="s">
        <v>218</v>
      </c>
    </row>
    <row r="122" spans="1:8" ht="30" hidden="1" x14ac:dyDescent="0.25">
      <c r="A122" s="23">
        <v>96</v>
      </c>
      <c r="B122" s="50" t="s">
        <v>94</v>
      </c>
      <c r="C122" s="50"/>
      <c r="D122" s="23" t="s">
        <v>9</v>
      </c>
      <c r="E122" s="25">
        <v>90</v>
      </c>
      <c r="F122" s="26"/>
      <c r="G122" s="26">
        <f t="shared" si="3"/>
        <v>0</v>
      </c>
      <c r="H122" s="26" t="s">
        <v>219</v>
      </c>
    </row>
    <row r="123" spans="1:8" ht="30" hidden="1" x14ac:dyDescent="0.25">
      <c r="A123" s="23">
        <v>97</v>
      </c>
      <c r="B123" s="50" t="s">
        <v>93</v>
      </c>
      <c r="C123" s="50"/>
      <c r="D123" s="23" t="s">
        <v>9</v>
      </c>
      <c r="E123" s="25">
        <v>30</v>
      </c>
      <c r="F123" s="26"/>
      <c r="G123" s="26">
        <f t="shared" si="3"/>
        <v>0</v>
      </c>
      <c r="H123" s="26" t="s">
        <v>219</v>
      </c>
    </row>
    <row r="124" spans="1:8" ht="30" hidden="1" x14ac:dyDescent="0.25">
      <c r="A124" s="23">
        <v>98</v>
      </c>
      <c r="B124" s="50" t="s">
        <v>92</v>
      </c>
      <c r="C124" s="50"/>
      <c r="D124" s="23" t="s">
        <v>5</v>
      </c>
      <c r="E124" s="25">
        <v>8.0000000000000002E-3</v>
      </c>
      <c r="F124" s="26"/>
      <c r="G124" s="26">
        <f t="shared" si="3"/>
        <v>0</v>
      </c>
      <c r="H124" s="26" t="s">
        <v>218</v>
      </c>
    </row>
    <row r="125" spans="1:8" ht="45" hidden="1" x14ac:dyDescent="0.25">
      <c r="A125" s="23">
        <v>99</v>
      </c>
      <c r="B125" s="50" t="s">
        <v>4</v>
      </c>
      <c r="C125" s="50"/>
      <c r="D125" s="23" t="s">
        <v>6</v>
      </c>
      <c r="E125" s="25">
        <v>18.899999999999999</v>
      </c>
      <c r="F125" s="26"/>
      <c r="G125" s="26">
        <f t="shared" si="3"/>
        <v>0</v>
      </c>
      <c r="H125" s="26" t="s">
        <v>219</v>
      </c>
    </row>
    <row r="126" spans="1:8" ht="30" hidden="1" x14ac:dyDescent="0.25">
      <c r="A126" s="23">
        <v>100</v>
      </c>
      <c r="B126" s="50" t="s">
        <v>28</v>
      </c>
      <c r="C126" s="50"/>
      <c r="D126" s="23" t="s">
        <v>6</v>
      </c>
      <c r="E126" s="25">
        <v>18.899999999999999</v>
      </c>
      <c r="F126" s="26"/>
      <c r="G126" s="26">
        <f t="shared" si="3"/>
        <v>0</v>
      </c>
      <c r="H126" s="26" t="s">
        <v>219</v>
      </c>
    </row>
    <row r="127" spans="1:8" ht="45" hidden="1" x14ac:dyDescent="0.25">
      <c r="A127" s="23">
        <v>101</v>
      </c>
      <c r="B127" s="50" t="s">
        <v>91</v>
      </c>
      <c r="C127" s="50"/>
      <c r="D127" s="23" t="s">
        <v>8</v>
      </c>
      <c r="E127" s="25">
        <v>96</v>
      </c>
      <c r="F127" s="26"/>
      <c r="G127" s="26">
        <f t="shared" si="3"/>
        <v>0</v>
      </c>
      <c r="H127" s="26" t="s">
        <v>219</v>
      </c>
    </row>
    <row r="128" spans="1:8" ht="30" hidden="1" x14ac:dyDescent="0.25">
      <c r="A128" s="23">
        <v>102</v>
      </c>
      <c r="B128" s="50" t="s">
        <v>119</v>
      </c>
      <c r="C128" s="50"/>
      <c r="D128" s="23" t="s">
        <v>8</v>
      </c>
      <c r="E128" s="25">
        <v>96</v>
      </c>
      <c r="F128" s="26"/>
      <c r="G128" s="26">
        <f t="shared" si="3"/>
        <v>0</v>
      </c>
      <c r="H128" s="26" t="s">
        <v>218</v>
      </c>
    </row>
    <row r="129" spans="1:18" ht="30" hidden="1" x14ac:dyDescent="0.25">
      <c r="A129" s="23">
        <v>103</v>
      </c>
      <c r="B129" s="50" t="s">
        <v>12</v>
      </c>
      <c r="C129" s="50"/>
      <c r="D129" s="23" t="s">
        <v>8</v>
      </c>
      <c r="E129" s="25">
        <v>96</v>
      </c>
      <c r="F129" s="26"/>
      <c r="G129" s="26">
        <f t="shared" si="3"/>
        <v>0</v>
      </c>
      <c r="H129" s="26" t="s">
        <v>219</v>
      </c>
    </row>
    <row r="130" spans="1:18" ht="30" hidden="1" x14ac:dyDescent="0.25">
      <c r="A130" s="23">
        <v>104</v>
      </c>
      <c r="B130" s="50" t="s">
        <v>140</v>
      </c>
      <c r="C130" s="50"/>
      <c r="D130" s="23" t="s">
        <v>8</v>
      </c>
      <c r="E130" s="25">
        <v>96</v>
      </c>
      <c r="F130" s="26"/>
      <c r="G130" s="26">
        <f t="shared" si="3"/>
        <v>0</v>
      </c>
      <c r="H130" s="26" t="s">
        <v>218</v>
      </c>
    </row>
    <row r="131" spans="1:18" ht="30" hidden="1" x14ac:dyDescent="0.25">
      <c r="A131" s="23">
        <v>105</v>
      </c>
      <c r="B131" s="50" t="s">
        <v>90</v>
      </c>
      <c r="C131" s="50"/>
      <c r="D131" s="23" t="s">
        <v>87</v>
      </c>
      <c r="E131" s="25">
        <v>6</v>
      </c>
      <c r="F131" s="26"/>
      <c r="G131" s="26">
        <f t="shared" si="3"/>
        <v>0</v>
      </c>
      <c r="H131" s="26" t="s">
        <v>219</v>
      </c>
    </row>
    <row r="132" spans="1:18" ht="30" hidden="1" x14ac:dyDescent="0.25">
      <c r="A132" s="23">
        <v>106</v>
      </c>
      <c r="B132" s="50" t="s">
        <v>89</v>
      </c>
      <c r="C132" s="50"/>
      <c r="D132" s="23" t="s">
        <v>8</v>
      </c>
      <c r="E132" s="25">
        <v>6</v>
      </c>
      <c r="F132" s="26"/>
      <c r="G132" s="26">
        <f t="shared" si="3"/>
        <v>0</v>
      </c>
      <c r="H132" s="26" t="s">
        <v>218</v>
      </c>
    </row>
    <row r="133" spans="1:18" ht="30" hidden="1" x14ac:dyDescent="0.25">
      <c r="A133" s="23">
        <v>107</v>
      </c>
      <c r="B133" s="50" t="s">
        <v>88</v>
      </c>
      <c r="C133" s="50"/>
      <c r="D133" s="23" t="s">
        <v>87</v>
      </c>
      <c r="E133" s="25">
        <v>6</v>
      </c>
      <c r="F133" s="26"/>
      <c r="G133" s="26">
        <f t="shared" si="3"/>
        <v>0</v>
      </c>
      <c r="H133" s="26" t="s">
        <v>219</v>
      </c>
    </row>
    <row r="134" spans="1:18" ht="30" hidden="1" x14ac:dyDescent="0.25">
      <c r="A134" s="23">
        <v>108</v>
      </c>
      <c r="B134" s="50" t="s">
        <v>86</v>
      </c>
      <c r="C134" s="50"/>
      <c r="D134" s="23" t="s">
        <v>8</v>
      </c>
      <c r="E134" s="25">
        <v>6</v>
      </c>
      <c r="F134" s="26"/>
      <c r="G134" s="26">
        <f t="shared" si="3"/>
        <v>0</v>
      </c>
      <c r="H134" s="26" t="s">
        <v>218</v>
      </c>
    </row>
    <row r="135" spans="1:18" ht="30" hidden="1" x14ac:dyDescent="0.25">
      <c r="A135" s="23">
        <v>109</v>
      </c>
      <c r="B135" s="50" t="s">
        <v>85</v>
      </c>
      <c r="C135" s="50"/>
      <c r="D135" s="23" t="s">
        <v>8</v>
      </c>
      <c r="E135" s="25">
        <v>96</v>
      </c>
      <c r="F135" s="26"/>
      <c r="G135" s="26">
        <f t="shared" si="3"/>
        <v>0</v>
      </c>
      <c r="H135" s="26" t="s">
        <v>219</v>
      </c>
    </row>
    <row r="136" spans="1:18" ht="30" hidden="1" x14ac:dyDescent="0.25">
      <c r="A136" s="23">
        <v>110</v>
      </c>
      <c r="B136" s="50" t="s">
        <v>84</v>
      </c>
      <c r="C136" s="50"/>
      <c r="D136" s="23" t="s">
        <v>8</v>
      </c>
      <c r="E136" s="25">
        <v>96</v>
      </c>
      <c r="F136" s="26"/>
      <c r="G136" s="26">
        <f t="shared" si="3"/>
        <v>0</v>
      </c>
      <c r="H136" s="26" t="s">
        <v>218</v>
      </c>
    </row>
    <row r="137" spans="1:18" ht="45" hidden="1" x14ac:dyDescent="0.25">
      <c r="A137" s="23">
        <v>111</v>
      </c>
      <c r="B137" s="50" t="s">
        <v>110</v>
      </c>
      <c r="C137" s="50"/>
      <c r="D137" s="23" t="s">
        <v>8</v>
      </c>
      <c r="E137" s="25">
        <v>6</v>
      </c>
      <c r="F137" s="26"/>
      <c r="G137" s="26">
        <f t="shared" si="3"/>
        <v>0</v>
      </c>
      <c r="H137" s="26" t="s">
        <v>219</v>
      </c>
    </row>
    <row r="138" spans="1:18" ht="30" hidden="1" x14ac:dyDescent="0.25">
      <c r="A138" s="23">
        <v>112</v>
      </c>
      <c r="B138" s="50" t="s">
        <v>139</v>
      </c>
      <c r="C138" s="50"/>
      <c r="D138" s="23" t="s">
        <v>8</v>
      </c>
      <c r="E138" s="25">
        <v>6</v>
      </c>
      <c r="F138" s="26"/>
      <c r="G138" s="26">
        <f t="shared" si="3"/>
        <v>0</v>
      </c>
      <c r="H138" s="26" t="s">
        <v>218</v>
      </c>
    </row>
    <row r="139" spans="1:18" ht="45" hidden="1" x14ac:dyDescent="0.25">
      <c r="A139" s="23">
        <v>113</v>
      </c>
      <c r="B139" s="50" t="s">
        <v>82</v>
      </c>
      <c r="C139" s="50"/>
      <c r="D139" s="23" t="s">
        <v>8</v>
      </c>
      <c r="E139" s="25">
        <v>6</v>
      </c>
      <c r="F139" s="26"/>
      <c r="G139" s="26">
        <f t="shared" si="3"/>
        <v>0</v>
      </c>
      <c r="H139" s="26" t="s">
        <v>219</v>
      </c>
    </row>
    <row r="140" spans="1:18" ht="30" hidden="1" x14ac:dyDescent="0.25">
      <c r="A140" s="23">
        <v>114</v>
      </c>
      <c r="B140" s="50" t="s">
        <v>138</v>
      </c>
      <c r="C140" s="50"/>
      <c r="D140" s="23" t="s">
        <v>8</v>
      </c>
      <c r="E140" s="25">
        <v>6</v>
      </c>
      <c r="F140" s="26"/>
      <c r="G140" s="26">
        <f t="shared" si="3"/>
        <v>0</v>
      </c>
      <c r="H140" s="26" t="s">
        <v>218</v>
      </c>
    </row>
    <row r="141" spans="1:18" s="58" customFormat="1" ht="45" hidden="1" x14ac:dyDescent="0.25">
      <c r="A141" s="53">
        <v>115</v>
      </c>
      <c r="B141" s="54" t="s">
        <v>81</v>
      </c>
      <c r="C141" s="54"/>
      <c r="D141" s="53" t="s">
        <v>9</v>
      </c>
      <c r="E141" s="55">
        <v>120</v>
      </c>
      <c r="F141" s="56"/>
      <c r="G141" s="56">
        <f t="shared" si="3"/>
        <v>0</v>
      </c>
      <c r="H141" s="56" t="s">
        <v>219</v>
      </c>
      <c r="I141" s="57"/>
      <c r="J141" s="57"/>
      <c r="K141" s="57"/>
      <c r="L141" s="57"/>
      <c r="M141" s="57"/>
      <c r="N141" s="57"/>
      <c r="O141" s="57"/>
      <c r="P141" s="57"/>
      <c r="Q141" s="57"/>
      <c r="R141" s="57"/>
    </row>
    <row r="142" spans="1:18" s="58" customFormat="1" ht="60" hidden="1" x14ac:dyDescent="0.25">
      <c r="A142" s="53">
        <v>116</v>
      </c>
      <c r="B142" s="54" t="s">
        <v>80</v>
      </c>
      <c r="C142" s="54"/>
      <c r="D142" s="53" t="s">
        <v>9</v>
      </c>
      <c r="E142" s="55">
        <v>90</v>
      </c>
      <c r="F142" s="56"/>
      <c r="G142" s="56">
        <f t="shared" si="3"/>
        <v>0</v>
      </c>
      <c r="H142" s="56" t="s">
        <v>219</v>
      </c>
      <c r="I142" s="57"/>
      <c r="J142" s="57"/>
      <c r="K142" s="57"/>
      <c r="L142" s="57"/>
      <c r="M142" s="57"/>
      <c r="N142" s="57"/>
      <c r="O142" s="57"/>
      <c r="P142" s="57"/>
      <c r="Q142" s="57"/>
      <c r="R142" s="57"/>
    </row>
    <row r="143" spans="1:18" s="58" customFormat="1" ht="60" hidden="1" x14ac:dyDescent="0.25">
      <c r="A143" s="53">
        <v>117</v>
      </c>
      <c r="B143" s="54" t="s">
        <v>79</v>
      </c>
      <c r="C143" s="54"/>
      <c r="D143" s="53" t="s">
        <v>9</v>
      </c>
      <c r="E143" s="55">
        <v>36</v>
      </c>
      <c r="F143" s="56"/>
      <c r="G143" s="56">
        <f t="shared" si="3"/>
        <v>0</v>
      </c>
      <c r="H143" s="56" t="s">
        <v>219</v>
      </c>
      <c r="I143" s="57"/>
      <c r="J143" s="57"/>
      <c r="K143" s="57"/>
      <c r="L143" s="57"/>
      <c r="M143" s="57"/>
      <c r="N143" s="57"/>
      <c r="O143" s="57"/>
      <c r="P143" s="57"/>
      <c r="Q143" s="57"/>
      <c r="R143" s="57"/>
    </row>
    <row r="144" spans="1:18" s="58" customFormat="1" ht="60" hidden="1" x14ac:dyDescent="0.25">
      <c r="A144" s="53">
        <v>118</v>
      </c>
      <c r="B144" s="54" t="s">
        <v>78</v>
      </c>
      <c r="C144" s="54"/>
      <c r="D144" s="53" t="s">
        <v>9</v>
      </c>
      <c r="E144" s="55">
        <v>180</v>
      </c>
      <c r="F144" s="56"/>
      <c r="G144" s="56">
        <f t="shared" si="3"/>
        <v>0</v>
      </c>
      <c r="H144" s="56" t="s">
        <v>219</v>
      </c>
      <c r="I144" s="57"/>
      <c r="J144" s="57"/>
      <c r="K144" s="57"/>
      <c r="L144" s="57"/>
      <c r="M144" s="57"/>
      <c r="N144" s="57"/>
      <c r="O144" s="57"/>
      <c r="P144" s="57"/>
      <c r="Q144" s="57"/>
      <c r="R144" s="57"/>
    </row>
    <row r="145" spans="1:18" s="58" customFormat="1" ht="45" hidden="1" x14ac:dyDescent="0.25">
      <c r="A145" s="53">
        <v>119</v>
      </c>
      <c r="B145" s="54" t="s">
        <v>77</v>
      </c>
      <c r="C145" s="54"/>
      <c r="D145" s="53" t="s">
        <v>9</v>
      </c>
      <c r="E145" s="55">
        <v>90</v>
      </c>
      <c r="F145" s="56"/>
      <c r="G145" s="56">
        <f t="shared" si="3"/>
        <v>0</v>
      </c>
      <c r="H145" s="56" t="s">
        <v>219</v>
      </c>
      <c r="I145" s="57"/>
      <c r="J145" s="57"/>
      <c r="K145" s="57"/>
      <c r="L145" s="57"/>
      <c r="M145" s="57"/>
      <c r="N145" s="57"/>
      <c r="O145" s="57"/>
      <c r="P145" s="57"/>
      <c r="Q145" s="57"/>
      <c r="R145" s="57"/>
    </row>
    <row r="146" spans="1:18" s="58" customFormat="1" ht="60" hidden="1" x14ac:dyDescent="0.25">
      <c r="A146" s="53">
        <v>120</v>
      </c>
      <c r="B146" s="54" t="s">
        <v>76</v>
      </c>
      <c r="C146" s="54"/>
      <c r="D146" s="53" t="s">
        <v>9</v>
      </c>
      <c r="E146" s="55">
        <v>504</v>
      </c>
      <c r="F146" s="56"/>
      <c r="G146" s="56">
        <f t="shared" si="3"/>
        <v>0</v>
      </c>
      <c r="H146" s="56" t="s">
        <v>219</v>
      </c>
      <c r="I146" s="57"/>
      <c r="J146" s="57"/>
      <c r="K146" s="57"/>
      <c r="L146" s="57"/>
      <c r="M146" s="57"/>
      <c r="N146" s="57"/>
      <c r="O146" s="57"/>
      <c r="P146" s="57"/>
      <c r="Q146" s="57"/>
      <c r="R146" s="57"/>
    </row>
    <row r="147" spans="1:18" s="58" customFormat="1" ht="60" hidden="1" x14ac:dyDescent="0.25">
      <c r="A147" s="53">
        <v>121</v>
      </c>
      <c r="B147" s="54" t="s">
        <v>75</v>
      </c>
      <c r="C147" s="54"/>
      <c r="D147" s="53" t="s">
        <v>9</v>
      </c>
      <c r="E147" s="55">
        <v>1440</v>
      </c>
      <c r="F147" s="56"/>
      <c r="G147" s="56">
        <f t="shared" si="3"/>
        <v>0</v>
      </c>
      <c r="H147" s="56" t="s">
        <v>219</v>
      </c>
      <c r="I147" s="57"/>
      <c r="J147" s="57"/>
      <c r="K147" s="57"/>
      <c r="L147" s="57"/>
      <c r="M147" s="57"/>
      <c r="N147" s="57"/>
      <c r="O147" s="57"/>
      <c r="P147" s="57"/>
      <c r="Q147" s="57"/>
      <c r="R147" s="57"/>
    </row>
    <row r="148" spans="1:18" s="58" customFormat="1" ht="60" hidden="1" x14ac:dyDescent="0.25">
      <c r="A148" s="53">
        <v>122</v>
      </c>
      <c r="B148" s="54" t="s">
        <v>74</v>
      </c>
      <c r="C148" s="54"/>
      <c r="D148" s="53" t="s">
        <v>9</v>
      </c>
      <c r="E148" s="55">
        <v>480</v>
      </c>
      <c r="F148" s="56"/>
      <c r="G148" s="56">
        <f t="shared" si="3"/>
        <v>0</v>
      </c>
      <c r="H148" s="56" t="s">
        <v>219</v>
      </c>
      <c r="I148" s="57"/>
      <c r="J148" s="57"/>
      <c r="K148" s="57"/>
      <c r="L148" s="57"/>
      <c r="M148" s="57"/>
      <c r="N148" s="57"/>
      <c r="O148" s="57"/>
      <c r="P148" s="57"/>
      <c r="Q148" s="57"/>
      <c r="R148" s="57"/>
    </row>
    <row r="149" spans="1:18" ht="45" hidden="1" x14ac:dyDescent="0.25">
      <c r="A149" s="23">
        <v>123</v>
      </c>
      <c r="B149" s="50" t="s">
        <v>30</v>
      </c>
      <c r="C149" s="50"/>
      <c r="D149" s="23" t="s">
        <v>9</v>
      </c>
      <c r="E149" s="25">
        <v>2910</v>
      </c>
      <c r="F149" s="26"/>
      <c r="G149" s="26">
        <f t="shared" si="3"/>
        <v>0</v>
      </c>
      <c r="H149" s="26" t="s">
        <v>219</v>
      </c>
    </row>
    <row r="150" spans="1:18" ht="45" hidden="1" x14ac:dyDescent="0.25">
      <c r="A150" s="23">
        <v>124</v>
      </c>
      <c r="B150" s="50" t="s">
        <v>30</v>
      </c>
      <c r="C150" s="50"/>
      <c r="D150" s="23" t="s">
        <v>9</v>
      </c>
      <c r="E150" s="25">
        <v>180</v>
      </c>
      <c r="F150" s="26"/>
      <c r="G150" s="26">
        <f t="shared" si="3"/>
        <v>0</v>
      </c>
      <c r="H150" s="26" t="s">
        <v>219</v>
      </c>
    </row>
    <row r="151" spans="1:18" ht="30" hidden="1" x14ac:dyDescent="0.25">
      <c r="A151" s="23">
        <v>125</v>
      </c>
      <c r="B151" s="50" t="s">
        <v>73</v>
      </c>
      <c r="C151" s="50"/>
      <c r="D151" s="23" t="s">
        <v>9</v>
      </c>
      <c r="E151" s="25">
        <v>636.00000000000011</v>
      </c>
      <c r="F151" s="26"/>
      <c r="G151" s="26">
        <f t="shared" si="3"/>
        <v>0</v>
      </c>
      <c r="H151" s="26" t="s">
        <v>219</v>
      </c>
    </row>
    <row r="152" spans="1:18" ht="30" hidden="1" x14ac:dyDescent="0.25">
      <c r="A152" s="23">
        <v>126</v>
      </c>
      <c r="B152" s="50" t="s">
        <v>170</v>
      </c>
      <c r="C152" s="50"/>
      <c r="D152" s="23" t="s">
        <v>9</v>
      </c>
      <c r="E152" s="25">
        <v>186</v>
      </c>
      <c r="F152" s="26"/>
      <c r="G152" s="26">
        <f t="shared" si="3"/>
        <v>0</v>
      </c>
      <c r="H152" s="26" t="s">
        <v>218</v>
      </c>
    </row>
    <row r="153" spans="1:18" ht="30" hidden="1" x14ac:dyDescent="0.25">
      <c r="A153" s="23">
        <v>127</v>
      </c>
      <c r="B153" s="50" t="s">
        <v>171</v>
      </c>
      <c r="C153" s="50"/>
      <c r="D153" s="23" t="s">
        <v>9</v>
      </c>
      <c r="E153" s="25">
        <v>126</v>
      </c>
      <c r="F153" s="26"/>
      <c r="G153" s="26">
        <f t="shared" si="3"/>
        <v>0</v>
      </c>
      <c r="H153" s="26" t="s">
        <v>218</v>
      </c>
    </row>
    <row r="154" spans="1:18" ht="30" hidden="1" x14ac:dyDescent="0.25">
      <c r="A154" s="23">
        <v>128</v>
      </c>
      <c r="B154" s="50" t="s">
        <v>72</v>
      </c>
      <c r="C154" s="50"/>
      <c r="D154" s="23" t="s">
        <v>9</v>
      </c>
      <c r="E154" s="25">
        <v>1956</v>
      </c>
      <c r="F154" s="26"/>
      <c r="G154" s="26">
        <f t="shared" si="3"/>
        <v>0</v>
      </c>
      <c r="H154" s="26" t="s">
        <v>218</v>
      </c>
    </row>
    <row r="155" spans="1:18" hidden="1" x14ac:dyDescent="0.25">
      <c r="A155" s="23">
        <v>129</v>
      </c>
      <c r="B155" s="50" t="s">
        <v>71</v>
      </c>
      <c r="C155" s="50"/>
      <c r="D155" s="23" t="s">
        <v>9</v>
      </c>
      <c r="E155" s="25">
        <v>1530</v>
      </c>
      <c r="F155" s="26"/>
      <c r="G155" s="26">
        <f t="shared" si="3"/>
        <v>0</v>
      </c>
      <c r="H155" s="26" t="s">
        <v>218</v>
      </c>
    </row>
    <row r="156" spans="1:18" ht="45" hidden="1" x14ac:dyDescent="0.25">
      <c r="A156" s="23">
        <v>130</v>
      </c>
      <c r="B156" s="50" t="s">
        <v>137</v>
      </c>
      <c r="C156" s="50"/>
      <c r="D156" s="23" t="s">
        <v>9</v>
      </c>
      <c r="E156" s="25">
        <v>1956</v>
      </c>
      <c r="F156" s="26"/>
      <c r="G156" s="26">
        <f t="shared" si="3"/>
        <v>0</v>
      </c>
      <c r="H156" s="26" t="s">
        <v>218</v>
      </c>
    </row>
    <row r="157" spans="1:18" ht="30" hidden="1" x14ac:dyDescent="0.25">
      <c r="A157" s="23">
        <v>131</v>
      </c>
      <c r="B157" s="50" t="s">
        <v>69</v>
      </c>
      <c r="C157" s="50"/>
      <c r="D157" s="23" t="s">
        <v>9</v>
      </c>
      <c r="E157" s="25">
        <v>828</v>
      </c>
      <c r="F157" s="26"/>
      <c r="G157" s="26">
        <f t="shared" si="3"/>
        <v>0</v>
      </c>
      <c r="H157" s="26" t="s">
        <v>218</v>
      </c>
    </row>
    <row r="158" spans="1:18" ht="75" hidden="1" x14ac:dyDescent="0.25">
      <c r="A158" s="23">
        <v>132</v>
      </c>
      <c r="B158" s="50" t="s">
        <v>112</v>
      </c>
      <c r="C158" s="50"/>
      <c r="D158" s="23" t="s">
        <v>9</v>
      </c>
      <c r="E158" s="25">
        <v>216</v>
      </c>
      <c r="F158" s="26"/>
      <c r="G158" s="26">
        <f t="shared" si="3"/>
        <v>0</v>
      </c>
      <c r="H158" s="26" t="s">
        <v>218</v>
      </c>
    </row>
    <row r="159" spans="1:18" ht="15.75" x14ac:dyDescent="0.25">
      <c r="A159" s="48"/>
      <c r="B159" s="33" t="s">
        <v>68</v>
      </c>
      <c r="C159" s="33"/>
      <c r="D159" s="34"/>
      <c r="E159" s="30"/>
      <c r="F159" s="30"/>
      <c r="G159" s="30">
        <f t="shared" si="3"/>
        <v>0</v>
      </c>
      <c r="H159" s="30"/>
    </row>
    <row r="160" spans="1:18" ht="30" x14ac:dyDescent="0.25">
      <c r="A160" s="35" t="s">
        <v>0</v>
      </c>
      <c r="B160" s="35" t="s">
        <v>1</v>
      </c>
      <c r="C160" s="35"/>
      <c r="D160" s="35" t="s">
        <v>2</v>
      </c>
      <c r="E160" s="36" t="s">
        <v>3</v>
      </c>
      <c r="F160" s="30"/>
      <c r="G160" s="30"/>
      <c r="H160" s="30"/>
    </row>
    <row r="161" spans="1:8" x14ac:dyDescent="0.25">
      <c r="A161" s="37">
        <v>1</v>
      </c>
      <c r="B161" s="37">
        <v>3</v>
      </c>
      <c r="C161" s="37"/>
      <c r="D161" s="37">
        <v>4</v>
      </c>
      <c r="E161" s="38">
        <v>5</v>
      </c>
      <c r="F161" s="30"/>
      <c r="G161" s="30">
        <f t="shared" si="3"/>
        <v>0</v>
      </c>
      <c r="H161" s="30"/>
    </row>
    <row r="162" spans="1:8" ht="60" hidden="1" x14ac:dyDescent="0.25">
      <c r="A162" s="23">
        <v>1</v>
      </c>
      <c r="B162" s="50" t="s">
        <v>118</v>
      </c>
      <c r="C162" s="50"/>
      <c r="D162" s="23" t="s">
        <v>8</v>
      </c>
      <c r="E162" s="25">
        <v>6</v>
      </c>
      <c r="F162" s="26"/>
      <c r="G162" s="26">
        <f t="shared" si="3"/>
        <v>0</v>
      </c>
      <c r="H162" s="26" t="s">
        <v>219</v>
      </c>
    </row>
    <row r="163" spans="1:8" ht="45" x14ac:dyDescent="0.25">
      <c r="A163" s="23">
        <v>2</v>
      </c>
      <c r="B163" s="50" t="s">
        <v>136</v>
      </c>
      <c r="C163" s="50" t="s">
        <v>232</v>
      </c>
      <c r="D163" s="23" t="s">
        <v>8</v>
      </c>
      <c r="E163" s="25">
        <v>6</v>
      </c>
      <c r="F163" s="26">
        <v>63.9</v>
      </c>
      <c r="G163" s="26">
        <f t="shared" ref="G163:G226" si="4">E163*F163</f>
        <v>383.4</v>
      </c>
      <c r="H163" s="26" t="s">
        <v>218</v>
      </c>
    </row>
    <row r="164" spans="1:8" ht="30" hidden="1" x14ac:dyDescent="0.25">
      <c r="A164" s="23">
        <v>3</v>
      </c>
      <c r="B164" s="50" t="s">
        <v>67</v>
      </c>
      <c r="C164" s="50"/>
      <c r="D164" s="23" t="s">
        <v>8</v>
      </c>
      <c r="E164" s="25">
        <v>12</v>
      </c>
      <c r="F164" s="26"/>
      <c r="G164" s="26">
        <f t="shared" si="4"/>
        <v>0</v>
      </c>
      <c r="H164" s="26" t="s">
        <v>219</v>
      </c>
    </row>
    <row r="165" spans="1:8" ht="30" x14ac:dyDescent="0.25">
      <c r="A165" s="23">
        <v>4</v>
      </c>
      <c r="B165" s="50" t="s">
        <v>231</v>
      </c>
      <c r="C165" s="50" t="s">
        <v>233</v>
      </c>
      <c r="D165" s="23" t="s">
        <v>8</v>
      </c>
      <c r="E165" s="25">
        <v>12</v>
      </c>
      <c r="F165" s="26">
        <v>57.32</v>
      </c>
      <c r="G165" s="26">
        <f t="shared" si="4"/>
        <v>687.84</v>
      </c>
      <c r="H165" s="26" t="s">
        <v>218</v>
      </c>
    </row>
    <row r="166" spans="1:8" ht="30" hidden="1" x14ac:dyDescent="0.25">
      <c r="A166" s="23">
        <v>5</v>
      </c>
      <c r="B166" s="50" t="s">
        <v>66</v>
      </c>
      <c r="C166" s="50"/>
      <c r="D166" s="23" t="s">
        <v>8</v>
      </c>
      <c r="E166" s="25">
        <v>12</v>
      </c>
      <c r="F166" s="26"/>
      <c r="G166" s="26">
        <f t="shared" si="4"/>
        <v>0</v>
      </c>
      <c r="H166" s="26" t="s">
        <v>219</v>
      </c>
    </row>
    <row r="167" spans="1:8" ht="30" x14ac:dyDescent="0.25">
      <c r="A167" s="23">
        <v>6</v>
      </c>
      <c r="B167" s="50" t="s">
        <v>65</v>
      </c>
      <c r="C167" s="50" t="s">
        <v>234</v>
      </c>
      <c r="D167" s="23" t="s">
        <v>8</v>
      </c>
      <c r="E167" s="25">
        <v>12</v>
      </c>
      <c r="F167" s="26">
        <v>69.02</v>
      </c>
      <c r="G167" s="26">
        <f t="shared" si="4"/>
        <v>828.24</v>
      </c>
      <c r="H167" s="26" t="s">
        <v>218</v>
      </c>
    </row>
    <row r="168" spans="1:8" ht="30" hidden="1" x14ac:dyDescent="0.25">
      <c r="A168" s="23">
        <v>7</v>
      </c>
      <c r="B168" s="50" t="s">
        <v>64</v>
      </c>
      <c r="C168" s="50"/>
      <c r="D168" s="23" t="s">
        <v>8</v>
      </c>
      <c r="E168" s="25">
        <v>6</v>
      </c>
      <c r="F168" s="26"/>
      <c r="G168" s="26">
        <f t="shared" si="4"/>
        <v>0</v>
      </c>
      <c r="H168" s="26" t="s">
        <v>219</v>
      </c>
    </row>
    <row r="169" spans="1:8" ht="30" x14ac:dyDescent="0.25">
      <c r="A169" s="23">
        <v>8</v>
      </c>
      <c r="B169" s="50" t="s">
        <v>124</v>
      </c>
      <c r="C169" s="50" t="s">
        <v>235</v>
      </c>
      <c r="D169" s="23" t="s">
        <v>8</v>
      </c>
      <c r="E169" s="25">
        <v>6</v>
      </c>
      <c r="F169" s="26">
        <v>204.36</v>
      </c>
      <c r="G169" s="26">
        <f t="shared" si="4"/>
        <v>1226.1600000000001</v>
      </c>
      <c r="H169" s="26" t="s">
        <v>218</v>
      </c>
    </row>
    <row r="170" spans="1:8" ht="60" hidden="1" x14ac:dyDescent="0.25">
      <c r="A170" s="23">
        <v>9</v>
      </c>
      <c r="B170" s="50" t="s">
        <v>117</v>
      </c>
      <c r="C170" s="50"/>
      <c r="D170" s="23" t="s">
        <v>8</v>
      </c>
      <c r="E170" s="25">
        <v>6</v>
      </c>
      <c r="F170" s="26"/>
      <c r="G170" s="26">
        <f t="shared" si="4"/>
        <v>0</v>
      </c>
      <c r="H170" s="26" t="s">
        <v>219</v>
      </c>
    </row>
    <row r="171" spans="1:8" ht="30" x14ac:dyDescent="0.25">
      <c r="A171" s="23">
        <v>10</v>
      </c>
      <c r="B171" s="50" t="s">
        <v>63</v>
      </c>
      <c r="C171" s="50" t="s">
        <v>236</v>
      </c>
      <c r="D171" s="23" t="s">
        <v>8</v>
      </c>
      <c r="E171" s="25">
        <v>6</v>
      </c>
      <c r="F171" s="26">
        <v>19.600000000000001</v>
      </c>
      <c r="G171" s="26">
        <f t="shared" si="4"/>
        <v>117.60000000000001</v>
      </c>
      <c r="H171" s="26" t="s">
        <v>218</v>
      </c>
    </row>
    <row r="172" spans="1:8" ht="45" hidden="1" x14ac:dyDescent="0.25">
      <c r="A172" s="23">
        <v>11</v>
      </c>
      <c r="B172" s="50" t="s">
        <v>62</v>
      </c>
      <c r="C172" s="50"/>
      <c r="D172" s="23" t="s">
        <v>8</v>
      </c>
      <c r="E172" s="25">
        <v>12</v>
      </c>
      <c r="F172" s="26"/>
      <c r="G172" s="26">
        <f t="shared" si="4"/>
        <v>0</v>
      </c>
      <c r="H172" s="26" t="s">
        <v>219</v>
      </c>
    </row>
    <row r="173" spans="1:8" ht="45" hidden="1" x14ac:dyDescent="0.25">
      <c r="A173" s="23">
        <v>12</v>
      </c>
      <c r="B173" s="50" t="s">
        <v>61</v>
      </c>
      <c r="C173" s="50"/>
      <c r="D173" s="23" t="s">
        <v>8</v>
      </c>
      <c r="E173" s="25">
        <v>12</v>
      </c>
      <c r="F173" s="26"/>
      <c r="G173" s="26">
        <f t="shared" si="4"/>
        <v>0</v>
      </c>
      <c r="H173" s="26" t="s">
        <v>219</v>
      </c>
    </row>
    <row r="174" spans="1:8" ht="30" x14ac:dyDescent="0.25">
      <c r="A174" s="23">
        <v>13</v>
      </c>
      <c r="B174" s="50" t="s">
        <v>135</v>
      </c>
      <c r="C174" s="50" t="s">
        <v>237</v>
      </c>
      <c r="D174" s="23" t="s">
        <v>8</v>
      </c>
      <c r="E174" s="25">
        <v>12</v>
      </c>
      <c r="F174" s="26">
        <v>351</v>
      </c>
      <c r="G174" s="26">
        <f t="shared" si="4"/>
        <v>4212</v>
      </c>
      <c r="H174" s="26" t="s">
        <v>218</v>
      </c>
    </row>
    <row r="175" spans="1:8" ht="45" hidden="1" x14ac:dyDescent="0.25">
      <c r="A175" s="23">
        <v>14</v>
      </c>
      <c r="B175" s="50" t="s">
        <v>60</v>
      </c>
      <c r="C175" s="50"/>
      <c r="D175" s="23" t="s">
        <v>8</v>
      </c>
      <c r="E175" s="25">
        <v>6</v>
      </c>
      <c r="F175" s="26"/>
      <c r="G175" s="26">
        <f t="shared" si="4"/>
        <v>0</v>
      </c>
      <c r="H175" s="26" t="s">
        <v>219</v>
      </c>
    </row>
    <row r="176" spans="1:8" ht="30" x14ac:dyDescent="0.25">
      <c r="A176" s="23">
        <v>15</v>
      </c>
      <c r="B176" s="50" t="s">
        <v>123</v>
      </c>
      <c r="C176" s="50"/>
      <c r="D176" s="23" t="s">
        <v>8</v>
      </c>
      <c r="E176" s="25">
        <v>6</v>
      </c>
      <c r="F176" s="26"/>
      <c r="G176" s="26">
        <f t="shared" si="4"/>
        <v>0</v>
      </c>
      <c r="H176" s="26" t="s">
        <v>218</v>
      </c>
    </row>
    <row r="177" spans="1:8" ht="60" hidden="1" x14ac:dyDescent="0.25">
      <c r="A177" s="23">
        <v>16</v>
      </c>
      <c r="B177" s="50" t="s">
        <v>59</v>
      </c>
      <c r="C177" s="50"/>
      <c r="D177" s="23" t="s">
        <v>9</v>
      </c>
      <c r="E177" s="25">
        <v>540</v>
      </c>
      <c r="F177" s="26"/>
      <c r="G177" s="26">
        <f t="shared" si="4"/>
        <v>0</v>
      </c>
      <c r="H177" s="26" t="s">
        <v>219</v>
      </c>
    </row>
    <row r="178" spans="1:8" ht="60" hidden="1" x14ac:dyDescent="0.25">
      <c r="A178" s="23">
        <v>17</v>
      </c>
      <c r="B178" s="50" t="s">
        <v>47</v>
      </c>
      <c r="C178" s="50"/>
      <c r="D178" s="23" t="s">
        <v>9</v>
      </c>
      <c r="E178" s="25">
        <v>419.99999999999994</v>
      </c>
      <c r="F178" s="26"/>
      <c r="G178" s="26">
        <f t="shared" si="4"/>
        <v>0</v>
      </c>
      <c r="H178" s="26" t="s">
        <v>219</v>
      </c>
    </row>
    <row r="179" spans="1:8" ht="45" hidden="1" x14ac:dyDescent="0.25">
      <c r="A179" s="23">
        <v>18</v>
      </c>
      <c r="B179" s="50" t="s">
        <v>58</v>
      </c>
      <c r="C179" s="50"/>
      <c r="D179" s="23" t="s">
        <v>9</v>
      </c>
      <c r="E179" s="25">
        <v>960.00000000000011</v>
      </c>
      <c r="F179" s="26"/>
      <c r="G179" s="26">
        <f t="shared" si="4"/>
        <v>0</v>
      </c>
      <c r="H179" s="26" t="s">
        <v>219</v>
      </c>
    </row>
    <row r="180" spans="1:8" ht="45" x14ac:dyDescent="0.25">
      <c r="A180" s="23">
        <v>19</v>
      </c>
      <c r="B180" s="50" t="s">
        <v>126</v>
      </c>
      <c r="C180" s="50" t="s">
        <v>238</v>
      </c>
      <c r="D180" s="23" t="s">
        <v>9</v>
      </c>
      <c r="E180" s="25">
        <v>978</v>
      </c>
      <c r="F180" s="26">
        <v>0.85</v>
      </c>
      <c r="G180" s="26">
        <f t="shared" si="4"/>
        <v>831.3</v>
      </c>
      <c r="H180" s="26" t="s">
        <v>218</v>
      </c>
    </row>
    <row r="181" spans="1:8" ht="75" x14ac:dyDescent="0.25">
      <c r="A181" s="23">
        <v>20</v>
      </c>
      <c r="B181" s="50" t="s">
        <v>134</v>
      </c>
      <c r="C181" s="50"/>
      <c r="D181" s="23" t="s">
        <v>9</v>
      </c>
      <c r="E181" s="25">
        <v>978</v>
      </c>
      <c r="F181" s="26"/>
      <c r="G181" s="26">
        <f t="shared" si="4"/>
        <v>0</v>
      </c>
      <c r="H181" s="26" t="s">
        <v>218</v>
      </c>
    </row>
    <row r="182" spans="1:8" ht="15.75" x14ac:dyDescent="0.25">
      <c r="A182" s="48"/>
      <c r="B182" s="33" t="s">
        <v>57</v>
      </c>
      <c r="C182" s="33"/>
      <c r="D182" s="34"/>
      <c r="E182" s="30"/>
      <c r="F182" s="30"/>
      <c r="G182" s="30">
        <f t="shared" si="4"/>
        <v>0</v>
      </c>
      <c r="H182" s="30"/>
    </row>
    <row r="183" spans="1:8" ht="30" x14ac:dyDescent="0.25">
      <c r="A183" s="35" t="s">
        <v>0</v>
      </c>
      <c r="B183" s="35" t="s">
        <v>1</v>
      </c>
      <c r="C183" s="35"/>
      <c r="D183" s="35" t="s">
        <v>2</v>
      </c>
      <c r="E183" s="36" t="s">
        <v>3</v>
      </c>
      <c r="F183" s="30"/>
      <c r="G183" s="30"/>
      <c r="H183" s="30"/>
    </row>
    <row r="184" spans="1:8" x14ac:dyDescent="0.25">
      <c r="A184" s="37">
        <v>1</v>
      </c>
      <c r="B184" s="49">
        <v>3</v>
      </c>
      <c r="C184" s="49"/>
      <c r="D184" s="37">
        <v>4</v>
      </c>
      <c r="E184" s="38">
        <v>5</v>
      </c>
      <c r="F184" s="30"/>
      <c r="G184" s="30"/>
      <c r="H184" s="30"/>
    </row>
    <row r="185" spans="1:8" ht="30" hidden="1" x14ac:dyDescent="0.25">
      <c r="A185" s="23">
        <v>1</v>
      </c>
      <c r="B185" s="50" t="s">
        <v>53</v>
      </c>
      <c r="C185" s="50"/>
      <c r="D185" s="23" t="s">
        <v>8</v>
      </c>
      <c r="E185" s="25">
        <v>6</v>
      </c>
      <c r="F185" s="26"/>
      <c r="G185" s="26">
        <f t="shared" si="4"/>
        <v>0</v>
      </c>
      <c r="H185" s="26" t="s">
        <v>219</v>
      </c>
    </row>
    <row r="186" spans="1:8" ht="30" x14ac:dyDescent="0.25">
      <c r="A186" s="23">
        <v>2</v>
      </c>
      <c r="B186" s="50" t="s">
        <v>56</v>
      </c>
      <c r="C186" s="50" t="s">
        <v>239</v>
      </c>
      <c r="D186" s="23" t="s">
        <v>8</v>
      </c>
      <c r="E186" s="25">
        <v>6</v>
      </c>
      <c r="F186" s="26">
        <v>196.87</v>
      </c>
      <c r="G186" s="26">
        <f t="shared" si="4"/>
        <v>1181.22</v>
      </c>
      <c r="H186" s="26" t="s">
        <v>218</v>
      </c>
    </row>
    <row r="187" spans="1:8" ht="30" hidden="1" x14ac:dyDescent="0.25">
      <c r="A187" s="23">
        <v>3</v>
      </c>
      <c r="B187" s="50" t="s">
        <v>55</v>
      </c>
      <c r="C187" s="50"/>
      <c r="D187" s="23" t="s">
        <v>8</v>
      </c>
      <c r="E187" s="25">
        <v>6</v>
      </c>
      <c r="F187" s="26"/>
      <c r="G187" s="26">
        <f t="shared" si="4"/>
        <v>0</v>
      </c>
      <c r="H187" s="26" t="s">
        <v>219</v>
      </c>
    </row>
    <row r="188" spans="1:8" ht="30" x14ac:dyDescent="0.25">
      <c r="A188" s="23">
        <v>4</v>
      </c>
      <c r="B188" s="50" t="s">
        <v>54</v>
      </c>
      <c r="C188" s="50" t="s">
        <v>240</v>
      </c>
      <c r="D188" s="23" t="s">
        <v>8</v>
      </c>
      <c r="E188" s="25">
        <v>6</v>
      </c>
      <c r="F188" s="26">
        <v>15</v>
      </c>
      <c r="G188" s="26">
        <f t="shared" si="4"/>
        <v>90</v>
      </c>
      <c r="H188" s="26" t="s">
        <v>218</v>
      </c>
    </row>
    <row r="189" spans="1:8" ht="45" hidden="1" x14ac:dyDescent="0.25">
      <c r="A189" s="23">
        <v>5</v>
      </c>
      <c r="B189" s="50" t="s">
        <v>121</v>
      </c>
      <c r="C189" s="50"/>
      <c r="D189" s="23" t="s">
        <v>8</v>
      </c>
      <c r="E189" s="25">
        <v>6</v>
      </c>
      <c r="F189" s="26"/>
      <c r="G189" s="26">
        <f t="shared" si="4"/>
        <v>0</v>
      </c>
      <c r="H189" s="26" t="s">
        <v>219</v>
      </c>
    </row>
    <row r="190" spans="1:8" x14ac:dyDescent="0.25">
      <c r="A190" s="23">
        <v>6</v>
      </c>
      <c r="B190" s="50" t="s">
        <v>166</v>
      </c>
      <c r="C190" s="50"/>
      <c r="D190" s="23" t="s">
        <v>8</v>
      </c>
      <c r="E190" s="25">
        <v>6</v>
      </c>
      <c r="F190" s="26"/>
      <c r="G190" s="26">
        <f t="shared" si="4"/>
        <v>0</v>
      </c>
      <c r="H190" s="26" t="s">
        <v>218</v>
      </c>
    </row>
    <row r="191" spans="1:8" ht="30" hidden="1" x14ac:dyDescent="0.25">
      <c r="A191" s="23">
        <v>7</v>
      </c>
      <c r="B191" s="50" t="s">
        <v>50</v>
      </c>
      <c r="C191" s="50"/>
      <c r="D191" s="23" t="s">
        <v>8</v>
      </c>
      <c r="E191" s="25">
        <v>96</v>
      </c>
      <c r="F191" s="26"/>
      <c r="G191" s="26">
        <f t="shared" si="4"/>
        <v>0</v>
      </c>
      <c r="H191" s="26" t="s">
        <v>219</v>
      </c>
    </row>
    <row r="192" spans="1:8" ht="45" x14ac:dyDescent="0.25">
      <c r="A192" s="23">
        <v>8</v>
      </c>
      <c r="B192" s="50" t="s">
        <v>133</v>
      </c>
      <c r="C192" s="50"/>
      <c r="D192" s="23" t="s">
        <v>8</v>
      </c>
      <c r="E192" s="25">
        <v>96</v>
      </c>
      <c r="F192" s="26"/>
      <c r="G192" s="26">
        <f t="shared" si="4"/>
        <v>0</v>
      </c>
      <c r="H192" s="26" t="s">
        <v>218</v>
      </c>
    </row>
    <row r="193" spans="1:8" ht="60" hidden="1" x14ac:dyDescent="0.25">
      <c r="A193" s="23">
        <v>9</v>
      </c>
      <c r="B193" s="50" t="s">
        <v>49</v>
      </c>
      <c r="C193" s="50"/>
      <c r="D193" s="23" t="s">
        <v>8</v>
      </c>
      <c r="E193" s="25">
        <v>96</v>
      </c>
      <c r="F193" s="26"/>
      <c r="G193" s="26">
        <f t="shared" si="4"/>
        <v>0</v>
      </c>
      <c r="H193" s="26" t="s">
        <v>219</v>
      </c>
    </row>
    <row r="194" spans="1:8" x14ac:dyDescent="0.25">
      <c r="A194" s="23">
        <v>10</v>
      </c>
      <c r="B194" s="50" t="s">
        <v>132</v>
      </c>
      <c r="C194" s="50"/>
      <c r="D194" s="23" t="s">
        <v>8</v>
      </c>
      <c r="E194" s="25">
        <v>96</v>
      </c>
      <c r="F194" s="26"/>
      <c r="G194" s="26">
        <f t="shared" si="4"/>
        <v>0</v>
      </c>
      <c r="H194" s="26" t="s">
        <v>218</v>
      </c>
    </row>
    <row r="195" spans="1:8" ht="60" hidden="1" x14ac:dyDescent="0.25">
      <c r="A195" s="23">
        <v>11</v>
      </c>
      <c r="B195" s="50" t="s">
        <v>48</v>
      </c>
      <c r="C195" s="50"/>
      <c r="D195" s="23" t="s">
        <v>9</v>
      </c>
      <c r="E195" s="25">
        <v>612</v>
      </c>
      <c r="F195" s="26"/>
      <c r="G195" s="26">
        <f t="shared" si="4"/>
        <v>0</v>
      </c>
      <c r="H195" s="26" t="s">
        <v>219</v>
      </c>
    </row>
    <row r="196" spans="1:8" ht="60" hidden="1" x14ac:dyDescent="0.25">
      <c r="A196" s="23">
        <v>12</v>
      </c>
      <c r="B196" s="50" t="s">
        <v>47</v>
      </c>
      <c r="C196" s="50"/>
      <c r="D196" s="23" t="s">
        <v>9</v>
      </c>
      <c r="E196" s="25">
        <v>18</v>
      </c>
      <c r="F196" s="26"/>
      <c r="G196" s="26">
        <f t="shared" si="4"/>
        <v>0</v>
      </c>
      <c r="H196" s="26" t="s">
        <v>219</v>
      </c>
    </row>
    <row r="197" spans="1:8" ht="45" hidden="1" x14ac:dyDescent="0.25">
      <c r="A197" s="23">
        <v>13</v>
      </c>
      <c r="B197" s="50" t="s">
        <v>46</v>
      </c>
      <c r="C197" s="50"/>
      <c r="D197" s="23" t="s">
        <v>9</v>
      </c>
      <c r="E197" s="25">
        <v>630.00000000000011</v>
      </c>
      <c r="F197" s="26"/>
      <c r="G197" s="26">
        <f t="shared" si="4"/>
        <v>0</v>
      </c>
      <c r="H197" s="26" t="s">
        <v>219</v>
      </c>
    </row>
    <row r="198" spans="1:8" ht="30" hidden="1" x14ac:dyDescent="0.25">
      <c r="A198" s="23">
        <v>14</v>
      </c>
      <c r="B198" s="50" t="s">
        <v>45</v>
      </c>
      <c r="C198" s="50"/>
      <c r="D198" s="23" t="s">
        <v>9</v>
      </c>
      <c r="E198" s="25">
        <v>4380</v>
      </c>
      <c r="F198" s="26"/>
      <c r="G198" s="26">
        <f t="shared" si="4"/>
        <v>0</v>
      </c>
      <c r="H198" s="26" t="s">
        <v>219</v>
      </c>
    </row>
    <row r="199" spans="1:8" ht="30" hidden="1" x14ac:dyDescent="0.25">
      <c r="A199" s="23">
        <v>15</v>
      </c>
      <c r="B199" s="50" t="s">
        <v>43</v>
      </c>
      <c r="C199" s="50"/>
      <c r="D199" s="23" t="s">
        <v>9</v>
      </c>
      <c r="E199" s="25">
        <v>719.99999999999989</v>
      </c>
      <c r="F199" s="26"/>
      <c r="G199" s="26">
        <f t="shared" si="4"/>
        <v>0</v>
      </c>
      <c r="H199" s="26" t="s">
        <v>219</v>
      </c>
    </row>
    <row r="200" spans="1:8" ht="30" x14ac:dyDescent="0.25">
      <c r="A200" s="23">
        <v>16</v>
      </c>
      <c r="B200" s="50" t="s">
        <v>42</v>
      </c>
      <c r="C200" s="50"/>
      <c r="D200" s="23" t="s">
        <v>9</v>
      </c>
      <c r="E200" s="25">
        <v>5844</v>
      </c>
      <c r="F200" s="26"/>
      <c r="G200" s="26">
        <f t="shared" si="4"/>
        <v>0</v>
      </c>
      <c r="H200" s="26" t="s">
        <v>218</v>
      </c>
    </row>
    <row r="201" spans="1:8" ht="75" x14ac:dyDescent="0.25">
      <c r="A201" s="23">
        <v>17</v>
      </c>
      <c r="B201" s="50" t="s">
        <v>41</v>
      </c>
      <c r="C201" s="50"/>
      <c r="D201" s="23" t="s">
        <v>9</v>
      </c>
      <c r="E201" s="25">
        <v>642</v>
      </c>
      <c r="F201" s="26"/>
      <c r="G201" s="26">
        <f t="shared" si="4"/>
        <v>0</v>
      </c>
      <c r="H201" s="26" t="s">
        <v>218</v>
      </c>
    </row>
    <row r="202" spans="1:8" ht="30" hidden="1" x14ac:dyDescent="0.25">
      <c r="A202" s="23">
        <v>18</v>
      </c>
      <c r="B202" s="50" t="s">
        <v>53</v>
      </c>
      <c r="C202" s="50"/>
      <c r="D202" s="23" t="s">
        <v>8</v>
      </c>
      <c r="E202" s="25">
        <v>6</v>
      </c>
      <c r="F202" s="26"/>
      <c r="G202" s="26">
        <f t="shared" si="4"/>
        <v>0</v>
      </c>
      <c r="H202" s="26" t="s">
        <v>219</v>
      </c>
    </row>
    <row r="203" spans="1:8" ht="30" x14ac:dyDescent="0.25">
      <c r="A203" s="23">
        <v>19</v>
      </c>
      <c r="B203" s="50" t="s">
        <v>56</v>
      </c>
      <c r="C203" s="50"/>
      <c r="D203" s="23" t="s">
        <v>8</v>
      </c>
      <c r="E203" s="25">
        <v>6</v>
      </c>
      <c r="F203" s="26"/>
      <c r="G203" s="26">
        <f t="shared" si="4"/>
        <v>0</v>
      </c>
      <c r="H203" s="26" t="s">
        <v>218</v>
      </c>
    </row>
    <row r="204" spans="1:8" ht="30" hidden="1" x14ac:dyDescent="0.25">
      <c r="A204" s="23">
        <v>20</v>
      </c>
      <c r="B204" s="50" t="s">
        <v>55</v>
      </c>
      <c r="C204" s="50"/>
      <c r="D204" s="23" t="s">
        <v>8</v>
      </c>
      <c r="E204" s="25">
        <v>6</v>
      </c>
      <c r="F204" s="26"/>
      <c r="G204" s="26">
        <f t="shared" si="4"/>
        <v>0</v>
      </c>
      <c r="H204" s="26" t="s">
        <v>219</v>
      </c>
    </row>
    <row r="205" spans="1:8" ht="30" x14ac:dyDescent="0.25">
      <c r="A205" s="23">
        <v>21</v>
      </c>
      <c r="B205" s="50" t="s">
        <v>52</v>
      </c>
      <c r="C205" s="50"/>
      <c r="D205" s="23" t="s">
        <v>8</v>
      </c>
      <c r="E205" s="25">
        <v>6</v>
      </c>
      <c r="F205" s="26"/>
      <c r="G205" s="26">
        <f t="shared" si="4"/>
        <v>0</v>
      </c>
      <c r="H205" s="26" t="s">
        <v>218</v>
      </c>
    </row>
    <row r="206" spans="1:8" ht="45" hidden="1" x14ac:dyDescent="0.25">
      <c r="A206" s="23">
        <v>22</v>
      </c>
      <c r="B206" s="50" t="s">
        <v>51</v>
      </c>
      <c r="C206" s="50"/>
      <c r="D206" s="23" t="s">
        <v>8</v>
      </c>
      <c r="E206" s="25">
        <v>6</v>
      </c>
      <c r="F206" s="26"/>
      <c r="G206" s="26">
        <f t="shared" si="4"/>
        <v>0</v>
      </c>
      <c r="H206" s="26" t="s">
        <v>219</v>
      </c>
    </row>
    <row r="207" spans="1:8" x14ac:dyDescent="0.25">
      <c r="A207" s="23">
        <v>23</v>
      </c>
      <c r="B207" s="50" t="s">
        <v>168</v>
      </c>
      <c r="C207" s="50"/>
      <c r="D207" s="23" t="s">
        <v>8</v>
      </c>
      <c r="E207" s="25">
        <v>6</v>
      </c>
      <c r="F207" s="26"/>
      <c r="G207" s="26">
        <f t="shared" si="4"/>
        <v>0</v>
      </c>
      <c r="H207" s="26" t="s">
        <v>218</v>
      </c>
    </row>
    <row r="208" spans="1:8" ht="30" hidden="1" x14ac:dyDescent="0.25">
      <c r="A208" s="23">
        <v>24</v>
      </c>
      <c r="B208" s="50" t="s">
        <v>50</v>
      </c>
      <c r="C208" s="50"/>
      <c r="D208" s="23" t="s">
        <v>8</v>
      </c>
      <c r="E208" s="25">
        <v>96</v>
      </c>
      <c r="F208" s="26"/>
      <c r="G208" s="26">
        <f t="shared" si="4"/>
        <v>0</v>
      </c>
      <c r="H208" s="26" t="s">
        <v>219</v>
      </c>
    </row>
    <row r="209" spans="1:8" ht="30" x14ac:dyDescent="0.25">
      <c r="A209" s="23">
        <v>25</v>
      </c>
      <c r="B209" s="50" t="s">
        <v>131</v>
      </c>
      <c r="C209" s="50"/>
      <c r="D209" s="23" t="s">
        <v>8</v>
      </c>
      <c r="E209" s="25">
        <v>96</v>
      </c>
      <c r="F209" s="26"/>
      <c r="G209" s="26">
        <f t="shared" si="4"/>
        <v>0</v>
      </c>
      <c r="H209" s="26" t="s">
        <v>218</v>
      </c>
    </row>
    <row r="210" spans="1:8" ht="60" hidden="1" x14ac:dyDescent="0.25">
      <c r="A210" s="23">
        <v>26</v>
      </c>
      <c r="B210" s="50" t="s">
        <v>49</v>
      </c>
      <c r="C210" s="50"/>
      <c r="D210" s="23" t="s">
        <v>8</v>
      </c>
      <c r="E210" s="25">
        <v>96</v>
      </c>
      <c r="F210" s="26"/>
      <c r="G210" s="26">
        <f t="shared" si="4"/>
        <v>0</v>
      </c>
      <c r="H210" s="26" t="s">
        <v>219</v>
      </c>
    </row>
    <row r="211" spans="1:8" x14ac:dyDescent="0.25">
      <c r="A211" s="23">
        <v>27</v>
      </c>
      <c r="B211" s="50" t="s">
        <v>130</v>
      </c>
      <c r="C211" s="50"/>
      <c r="D211" s="23" t="s">
        <v>8</v>
      </c>
      <c r="E211" s="25">
        <v>96</v>
      </c>
      <c r="F211" s="26"/>
      <c r="G211" s="26">
        <f t="shared" si="4"/>
        <v>0</v>
      </c>
      <c r="H211" s="26" t="s">
        <v>218</v>
      </c>
    </row>
    <row r="212" spans="1:8" ht="60" hidden="1" x14ac:dyDescent="0.25">
      <c r="A212" s="23">
        <v>28</v>
      </c>
      <c r="B212" s="50" t="s">
        <v>48</v>
      </c>
      <c r="C212" s="50"/>
      <c r="D212" s="23" t="s">
        <v>9</v>
      </c>
      <c r="E212" s="25">
        <v>558</v>
      </c>
      <c r="F212" s="26"/>
      <c r="G212" s="26">
        <f t="shared" si="4"/>
        <v>0</v>
      </c>
      <c r="H212" s="26" t="s">
        <v>219</v>
      </c>
    </row>
    <row r="213" spans="1:8" ht="60" hidden="1" x14ac:dyDescent="0.25">
      <c r="A213" s="23">
        <v>29</v>
      </c>
      <c r="B213" s="50" t="s">
        <v>47</v>
      </c>
      <c r="C213" s="50"/>
      <c r="D213" s="23" t="s">
        <v>9</v>
      </c>
      <c r="E213" s="25">
        <v>72</v>
      </c>
      <c r="F213" s="26"/>
      <c r="G213" s="26">
        <f t="shared" si="4"/>
        <v>0</v>
      </c>
      <c r="H213" s="26" t="s">
        <v>219</v>
      </c>
    </row>
    <row r="214" spans="1:8" ht="45" hidden="1" x14ac:dyDescent="0.25">
      <c r="A214" s="23">
        <v>30</v>
      </c>
      <c r="B214" s="50" t="s">
        <v>46</v>
      </c>
      <c r="C214" s="50"/>
      <c r="D214" s="23" t="s">
        <v>9</v>
      </c>
      <c r="E214" s="25">
        <v>630.00000000000011</v>
      </c>
      <c r="F214" s="26"/>
      <c r="G214" s="26">
        <f t="shared" si="4"/>
        <v>0</v>
      </c>
      <c r="H214" s="26" t="s">
        <v>219</v>
      </c>
    </row>
    <row r="215" spans="1:8" ht="30" hidden="1" x14ac:dyDescent="0.25">
      <c r="A215" s="23">
        <v>31</v>
      </c>
      <c r="B215" s="50" t="s">
        <v>45</v>
      </c>
      <c r="C215" s="50"/>
      <c r="D215" s="23" t="s">
        <v>9</v>
      </c>
      <c r="E215" s="25">
        <v>780.00000000000011</v>
      </c>
      <c r="F215" s="26"/>
      <c r="G215" s="26">
        <f t="shared" si="4"/>
        <v>0</v>
      </c>
      <c r="H215" s="26" t="s">
        <v>219</v>
      </c>
    </row>
    <row r="216" spans="1:8" ht="30" hidden="1" x14ac:dyDescent="0.25">
      <c r="A216" s="23">
        <v>32</v>
      </c>
      <c r="B216" s="50" t="s">
        <v>44</v>
      </c>
      <c r="C216" s="50"/>
      <c r="D216" s="23" t="s">
        <v>9</v>
      </c>
      <c r="E216" s="25">
        <v>1110.0000000000002</v>
      </c>
      <c r="F216" s="26"/>
      <c r="G216" s="26">
        <f t="shared" si="4"/>
        <v>0</v>
      </c>
      <c r="H216" s="26" t="s">
        <v>219</v>
      </c>
    </row>
    <row r="217" spans="1:8" ht="30" hidden="1" x14ac:dyDescent="0.25">
      <c r="A217" s="23">
        <v>33</v>
      </c>
      <c r="B217" s="50" t="s">
        <v>43</v>
      </c>
      <c r="C217" s="50"/>
      <c r="D217" s="23" t="s">
        <v>9</v>
      </c>
      <c r="E217" s="25">
        <v>719.99999999999989</v>
      </c>
      <c r="F217" s="26"/>
      <c r="G217" s="26">
        <f t="shared" si="4"/>
        <v>0</v>
      </c>
      <c r="H217" s="26" t="s">
        <v>219</v>
      </c>
    </row>
    <row r="218" spans="1:8" ht="30" x14ac:dyDescent="0.25">
      <c r="A218" s="23">
        <v>34</v>
      </c>
      <c r="B218" s="50" t="s">
        <v>42</v>
      </c>
      <c r="C218" s="50"/>
      <c r="D218" s="23" t="s">
        <v>9</v>
      </c>
      <c r="E218" s="25">
        <v>3306</v>
      </c>
      <c r="F218" s="26"/>
      <c r="G218" s="26">
        <f t="shared" si="4"/>
        <v>0</v>
      </c>
      <c r="H218" s="26" t="s">
        <v>218</v>
      </c>
    </row>
    <row r="219" spans="1:8" ht="75" x14ac:dyDescent="0.25">
      <c r="A219" s="23">
        <v>35</v>
      </c>
      <c r="B219" s="50" t="s">
        <v>41</v>
      </c>
      <c r="C219" s="50"/>
      <c r="D219" s="23" t="s">
        <v>9</v>
      </c>
      <c r="E219" s="25">
        <v>642</v>
      </c>
      <c r="F219" s="26"/>
      <c r="G219" s="26">
        <f t="shared" si="4"/>
        <v>0</v>
      </c>
      <c r="H219" s="26" t="s">
        <v>218</v>
      </c>
    </row>
    <row r="220" spans="1:8" ht="31.5" hidden="1" x14ac:dyDescent="0.25">
      <c r="A220" s="48"/>
      <c r="B220" s="33" t="s">
        <v>40</v>
      </c>
      <c r="C220" s="33"/>
      <c r="D220" s="34"/>
      <c r="E220" s="30"/>
      <c r="F220" s="30"/>
      <c r="G220" s="30"/>
      <c r="H220" s="30"/>
    </row>
    <row r="221" spans="1:8" ht="30" hidden="1" x14ac:dyDescent="0.25">
      <c r="A221" s="35" t="s">
        <v>0</v>
      </c>
      <c r="B221" s="35" t="s">
        <v>1</v>
      </c>
      <c r="C221" s="35"/>
      <c r="D221" s="35" t="s">
        <v>2</v>
      </c>
      <c r="E221" s="36" t="s">
        <v>3</v>
      </c>
      <c r="F221" s="30"/>
      <c r="G221" s="30"/>
      <c r="H221" s="30"/>
    </row>
    <row r="222" spans="1:8" hidden="1" x14ac:dyDescent="0.25">
      <c r="A222" s="37">
        <v>1</v>
      </c>
      <c r="B222" s="49">
        <v>3</v>
      </c>
      <c r="C222" s="49"/>
      <c r="D222" s="37">
        <v>4</v>
      </c>
      <c r="E222" s="38">
        <v>5</v>
      </c>
      <c r="F222" s="30"/>
      <c r="G222" s="30"/>
      <c r="H222" s="30"/>
    </row>
    <row r="223" spans="1:8" ht="30" hidden="1" x14ac:dyDescent="0.25">
      <c r="A223" s="23">
        <v>1</v>
      </c>
      <c r="B223" s="50" t="s">
        <v>39</v>
      </c>
      <c r="C223" s="50"/>
      <c r="D223" s="23" t="s">
        <v>8</v>
      </c>
      <c r="E223" s="25">
        <v>6</v>
      </c>
      <c r="F223" s="26"/>
      <c r="G223" s="26">
        <f t="shared" si="4"/>
        <v>0</v>
      </c>
      <c r="H223" s="26" t="s">
        <v>219</v>
      </c>
    </row>
    <row r="224" spans="1:8" ht="30" hidden="1" x14ac:dyDescent="0.25">
      <c r="A224" s="23">
        <v>2</v>
      </c>
      <c r="B224" s="50" t="s">
        <v>38</v>
      </c>
      <c r="C224" s="50"/>
      <c r="D224" s="23" t="s">
        <v>8</v>
      </c>
      <c r="E224" s="25">
        <v>6</v>
      </c>
      <c r="F224" s="26"/>
      <c r="G224" s="26">
        <f t="shared" si="4"/>
        <v>0</v>
      </c>
      <c r="H224" s="26" t="s">
        <v>218</v>
      </c>
    </row>
    <row r="225" spans="1:8" ht="45" hidden="1" x14ac:dyDescent="0.25">
      <c r="A225" s="23">
        <v>3</v>
      </c>
      <c r="B225" s="50" t="s">
        <v>37</v>
      </c>
      <c r="C225" s="50"/>
      <c r="D225" s="23" t="s">
        <v>8</v>
      </c>
      <c r="E225" s="25">
        <v>204</v>
      </c>
      <c r="F225" s="26"/>
      <c r="G225" s="26">
        <f t="shared" si="4"/>
        <v>0</v>
      </c>
      <c r="H225" s="26" t="s">
        <v>219</v>
      </c>
    </row>
    <row r="226" spans="1:8" ht="90" hidden="1" x14ac:dyDescent="0.25">
      <c r="A226" s="23">
        <v>4</v>
      </c>
      <c r="B226" s="50" t="s">
        <v>116</v>
      </c>
      <c r="C226" s="50"/>
      <c r="D226" s="23" t="s">
        <v>8</v>
      </c>
      <c r="E226" s="25">
        <v>204</v>
      </c>
      <c r="F226" s="26"/>
      <c r="G226" s="26">
        <f t="shared" si="4"/>
        <v>0</v>
      </c>
      <c r="H226" s="26" t="s">
        <v>218</v>
      </c>
    </row>
    <row r="227" spans="1:8" ht="60" hidden="1" x14ac:dyDescent="0.25">
      <c r="A227" s="23">
        <v>5</v>
      </c>
      <c r="B227" s="50" t="s">
        <v>36</v>
      </c>
      <c r="C227" s="50"/>
      <c r="D227" s="23" t="s">
        <v>8</v>
      </c>
      <c r="E227" s="25">
        <v>12</v>
      </c>
      <c r="F227" s="26"/>
      <c r="G227" s="26">
        <f t="shared" ref="G227:G238" si="5">E227*F227</f>
        <v>0</v>
      </c>
      <c r="H227" s="26" t="s">
        <v>219</v>
      </c>
    </row>
    <row r="228" spans="1:8" ht="75" hidden="1" x14ac:dyDescent="0.25">
      <c r="A228" s="23">
        <v>6</v>
      </c>
      <c r="B228" s="50" t="s">
        <v>129</v>
      </c>
      <c r="C228" s="50"/>
      <c r="D228" s="23" t="s">
        <v>8</v>
      </c>
      <c r="E228" s="25">
        <v>12</v>
      </c>
      <c r="F228" s="26"/>
      <c r="G228" s="26">
        <f t="shared" si="5"/>
        <v>0</v>
      </c>
      <c r="H228" s="26" t="s">
        <v>218</v>
      </c>
    </row>
    <row r="229" spans="1:8" ht="30" hidden="1" x14ac:dyDescent="0.25">
      <c r="A229" s="23">
        <v>7</v>
      </c>
      <c r="B229" s="50" t="s">
        <v>35</v>
      </c>
      <c r="C229" s="50"/>
      <c r="D229" s="23" t="s">
        <v>8</v>
      </c>
      <c r="E229" s="25">
        <v>12</v>
      </c>
      <c r="F229" s="26"/>
      <c r="G229" s="26">
        <f t="shared" si="5"/>
        <v>0</v>
      </c>
      <c r="H229" s="26" t="s">
        <v>219</v>
      </c>
    </row>
    <row r="230" spans="1:8" ht="30" hidden="1" x14ac:dyDescent="0.25">
      <c r="A230" s="23">
        <v>8</v>
      </c>
      <c r="B230" s="50" t="s">
        <v>128</v>
      </c>
      <c r="C230" s="50"/>
      <c r="D230" s="23" t="s">
        <v>8</v>
      </c>
      <c r="E230" s="25">
        <v>12</v>
      </c>
      <c r="F230" s="26"/>
      <c r="G230" s="26">
        <f t="shared" si="5"/>
        <v>0</v>
      </c>
      <c r="H230" s="26" t="s">
        <v>218</v>
      </c>
    </row>
    <row r="231" spans="1:8" ht="30" hidden="1" x14ac:dyDescent="0.25">
      <c r="A231" s="23">
        <v>9</v>
      </c>
      <c r="B231" s="50" t="s">
        <v>34</v>
      </c>
      <c r="C231" s="50"/>
      <c r="D231" s="23" t="s">
        <v>8</v>
      </c>
      <c r="E231" s="25">
        <v>12</v>
      </c>
      <c r="F231" s="26"/>
      <c r="G231" s="26">
        <f t="shared" si="5"/>
        <v>0</v>
      </c>
      <c r="H231" s="26" t="s">
        <v>219</v>
      </c>
    </row>
    <row r="232" spans="1:8" hidden="1" x14ac:dyDescent="0.25">
      <c r="A232" s="23">
        <v>10</v>
      </c>
      <c r="B232" s="50" t="s">
        <v>33</v>
      </c>
      <c r="C232" s="50"/>
      <c r="D232" s="23" t="s">
        <v>8</v>
      </c>
      <c r="E232" s="25">
        <v>12</v>
      </c>
      <c r="F232" s="26"/>
      <c r="G232" s="26">
        <f t="shared" si="5"/>
        <v>0</v>
      </c>
      <c r="H232" s="26" t="s">
        <v>218</v>
      </c>
    </row>
    <row r="233" spans="1:8" ht="60" hidden="1" x14ac:dyDescent="0.25">
      <c r="A233" s="23">
        <v>11</v>
      </c>
      <c r="B233" s="50" t="s">
        <v>31</v>
      </c>
      <c r="C233" s="50"/>
      <c r="D233" s="23" t="s">
        <v>9</v>
      </c>
      <c r="E233" s="25">
        <v>630.00000000000011</v>
      </c>
      <c r="F233" s="26"/>
      <c r="G233" s="26">
        <f t="shared" si="5"/>
        <v>0</v>
      </c>
      <c r="H233" s="26" t="s">
        <v>219</v>
      </c>
    </row>
    <row r="234" spans="1:8" ht="60" hidden="1" x14ac:dyDescent="0.25">
      <c r="A234" s="23">
        <v>12</v>
      </c>
      <c r="B234" s="50" t="s">
        <v>32</v>
      </c>
      <c r="C234" s="50"/>
      <c r="D234" s="23" t="s">
        <v>9</v>
      </c>
      <c r="E234" s="25">
        <v>1289.9999999999998</v>
      </c>
      <c r="F234" s="26"/>
      <c r="G234" s="26">
        <f t="shared" si="5"/>
        <v>0</v>
      </c>
      <c r="H234" s="26" t="s">
        <v>219</v>
      </c>
    </row>
    <row r="235" spans="1:8" ht="45" hidden="1" x14ac:dyDescent="0.25">
      <c r="A235" s="23">
        <v>13</v>
      </c>
      <c r="B235" s="50" t="s">
        <v>30</v>
      </c>
      <c r="C235" s="50"/>
      <c r="D235" s="23" t="s">
        <v>9</v>
      </c>
      <c r="E235" s="25">
        <v>1979.9999999999998</v>
      </c>
      <c r="F235" s="26"/>
      <c r="G235" s="26">
        <f t="shared" si="5"/>
        <v>0</v>
      </c>
      <c r="H235" s="26" t="s">
        <v>219</v>
      </c>
    </row>
    <row r="236" spans="1:8" ht="30" hidden="1" x14ac:dyDescent="0.25">
      <c r="A236" s="23">
        <v>14</v>
      </c>
      <c r="B236" s="50" t="s">
        <v>167</v>
      </c>
      <c r="C236" s="50"/>
      <c r="D236" s="23" t="s">
        <v>9</v>
      </c>
      <c r="E236" s="25">
        <v>1716</v>
      </c>
      <c r="F236" s="26"/>
      <c r="G236" s="26">
        <f t="shared" si="5"/>
        <v>0</v>
      </c>
      <c r="H236" s="26" t="s">
        <v>218</v>
      </c>
    </row>
    <row r="237" spans="1:8" ht="30" hidden="1" x14ac:dyDescent="0.25">
      <c r="A237" s="23">
        <v>15</v>
      </c>
      <c r="B237" s="50" t="s">
        <v>127</v>
      </c>
      <c r="C237" s="50"/>
      <c r="D237" s="23" t="s">
        <v>9</v>
      </c>
      <c r="E237" s="25">
        <v>306</v>
      </c>
      <c r="F237" s="26"/>
      <c r="G237" s="26">
        <f t="shared" si="5"/>
        <v>0</v>
      </c>
      <c r="H237" s="26" t="s">
        <v>218</v>
      </c>
    </row>
    <row r="238" spans="1:8" ht="30" hidden="1" x14ac:dyDescent="0.25">
      <c r="A238" s="23">
        <v>16</v>
      </c>
      <c r="B238" s="50" t="s">
        <v>115</v>
      </c>
      <c r="C238" s="50"/>
      <c r="D238" s="23" t="s">
        <v>9</v>
      </c>
      <c r="E238" s="25">
        <v>1956</v>
      </c>
      <c r="F238" s="26"/>
      <c r="G238" s="26">
        <f t="shared" si="5"/>
        <v>0</v>
      </c>
      <c r="H238" s="26" t="s">
        <v>218</v>
      </c>
    </row>
    <row r="239" spans="1:8" ht="15.75" x14ac:dyDescent="0.25">
      <c r="A239" s="27"/>
      <c r="B239" s="28" t="s">
        <v>172</v>
      </c>
      <c r="C239" s="28"/>
      <c r="D239" s="27"/>
      <c r="E239" s="29"/>
      <c r="F239" s="30"/>
      <c r="G239" s="30">
        <f>SUM(G5:G238)</f>
        <v>9557.7599999999984</v>
      </c>
      <c r="H239" s="30"/>
    </row>
    <row r="240" spans="1:8" ht="15.75" x14ac:dyDescent="0.25">
      <c r="A240" s="51"/>
      <c r="B240" s="52" t="s">
        <v>174</v>
      </c>
      <c r="C240" s="52"/>
      <c r="D240" s="31"/>
      <c r="E240" s="32"/>
      <c r="F240" s="30"/>
      <c r="G240" s="30">
        <f>G239*0.18</f>
        <v>1720.3967999999998</v>
      </c>
      <c r="H240" s="30"/>
    </row>
    <row r="241" spans="1:8" ht="15.75" x14ac:dyDescent="0.25">
      <c r="A241" s="51"/>
      <c r="B241" s="52" t="s">
        <v>175</v>
      </c>
      <c r="C241" s="52"/>
      <c r="D241" s="31"/>
      <c r="E241" s="32"/>
      <c r="F241" s="30"/>
      <c r="G241" s="30">
        <f>SUM(G239:G240)</f>
        <v>11278.156799999999</v>
      </c>
      <c r="H241" s="30"/>
    </row>
  </sheetData>
  <autoFilter ref="A4:H241" xr:uid="{00000000-0009-0000-0000-000000000000}"/>
  <mergeCells count="2">
    <mergeCell ref="A1:E1"/>
    <mergeCell ref="A2:E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
  <sheetViews>
    <sheetView topLeftCell="A22" zoomScale="160" zoomScaleNormal="160" workbookViewId="0">
      <selection activeCell="E26" sqref="E26"/>
    </sheetView>
  </sheetViews>
  <sheetFormatPr defaultColWidth="8.85546875" defaultRowHeight="15" x14ac:dyDescent="0.2"/>
  <cols>
    <col min="1" max="1" width="6.42578125" style="3" customWidth="1"/>
    <col min="2" max="2" width="57.85546875" style="3" customWidth="1"/>
    <col min="3" max="3" width="16.42578125" style="3" customWidth="1"/>
    <col min="4" max="16384" width="8.85546875" style="3"/>
  </cols>
  <sheetData>
    <row r="1" spans="1:3" s="1" customFormat="1" ht="15.75" x14ac:dyDescent="0.25">
      <c r="A1" s="62" t="s">
        <v>176</v>
      </c>
      <c r="B1" s="62"/>
      <c r="C1" s="62"/>
    </row>
    <row r="2" spans="1:3" s="1" customFormat="1" ht="15.75" x14ac:dyDescent="0.25">
      <c r="A2" s="63" t="s">
        <v>177</v>
      </c>
      <c r="B2" s="63"/>
      <c r="C2" s="63"/>
    </row>
    <row r="3" spans="1:3" s="1" customFormat="1" ht="15.75" x14ac:dyDescent="0.25">
      <c r="A3" s="64" t="s">
        <v>178</v>
      </c>
      <c r="B3" s="64" t="s">
        <v>179</v>
      </c>
      <c r="C3" s="19"/>
    </row>
    <row r="4" spans="1:3" s="1" customFormat="1" ht="15.75" x14ac:dyDescent="0.25">
      <c r="A4" s="64"/>
      <c r="B4" s="64"/>
      <c r="C4" s="64" t="s">
        <v>173</v>
      </c>
    </row>
    <row r="5" spans="1:3" s="1" customFormat="1" ht="15.75" x14ac:dyDescent="0.25">
      <c r="A5" s="64"/>
      <c r="B5" s="64"/>
      <c r="C5" s="64"/>
    </row>
    <row r="6" spans="1:3" x14ac:dyDescent="0.2">
      <c r="A6" s="2">
        <v>1</v>
      </c>
      <c r="B6" s="2">
        <v>2</v>
      </c>
      <c r="C6" s="2">
        <v>3</v>
      </c>
    </row>
    <row r="7" spans="1:3" x14ac:dyDescent="0.2">
      <c r="A7" s="2">
        <v>1</v>
      </c>
      <c r="B7" s="4" t="s">
        <v>180</v>
      </c>
      <c r="C7" s="5"/>
    </row>
    <row r="8" spans="1:3" x14ac:dyDescent="0.2">
      <c r="A8" s="2">
        <v>2</v>
      </c>
      <c r="B8" s="4" t="s">
        <v>181</v>
      </c>
      <c r="C8" s="5"/>
    </row>
    <row r="9" spans="1:3" x14ac:dyDescent="0.2">
      <c r="A9" s="2">
        <v>3</v>
      </c>
      <c r="B9" s="4" t="s">
        <v>182</v>
      </c>
      <c r="C9" s="5"/>
    </row>
    <row r="10" spans="1:3" x14ac:dyDescent="0.2">
      <c r="A10" s="2">
        <v>4</v>
      </c>
      <c r="B10" s="4" t="s">
        <v>183</v>
      </c>
      <c r="C10" s="5"/>
    </row>
    <row r="11" spans="1:3" x14ac:dyDescent="0.2">
      <c r="A11" s="2">
        <v>5</v>
      </c>
      <c r="B11" s="4" t="s">
        <v>184</v>
      </c>
      <c r="C11" s="5"/>
    </row>
    <row r="12" spans="1:3" x14ac:dyDescent="0.2">
      <c r="A12" s="2">
        <v>6</v>
      </c>
      <c r="B12" s="4" t="s">
        <v>185</v>
      </c>
      <c r="C12" s="5"/>
    </row>
    <row r="13" spans="1:3" ht="30" x14ac:dyDescent="0.2">
      <c r="A13" s="2">
        <v>7</v>
      </c>
      <c r="B13" s="4" t="s">
        <v>148</v>
      </c>
      <c r="C13" s="5"/>
    </row>
    <row r="14" spans="1:3" x14ac:dyDescent="0.2">
      <c r="A14" s="2">
        <v>8</v>
      </c>
      <c r="B14" s="4" t="s">
        <v>152</v>
      </c>
      <c r="C14" s="5"/>
    </row>
    <row r="15" spans="1:3" x14ac:dyDescent="0.2">
      <c r="A15" s="2">
        <v>9</v>
      </c>
      <c r="B15" s="4" t="s">
        <v>150</v>
      </c>
      <c r="C15" s="5"/>
    </row>
    <row r="16" spans="1:3" x14ac:dyDescent="0.2">
      <c r="A16" s="2">
        <v>10</v>
      </c>
      <c r="B16" s="4" t="s">
        <v>153</v>
      </c>
      <c r="C16" s="5"/>
    </row>
    <row r="17" spans="1:3" x14ac:dyDescent="0.2">
      <c r="A17" s="2">
        <v>11</v>
      </c>
      <c r="B17" s="4" t="s">
        <v>186</v>
      </c>
      <c r="C17" s="5"/>
    </row>
    <row r="18" spans="1:3" x14ac:dyDescent="0.2">
      <c r="A18" s="2">
        <v>12</v>
      </c>
      <c r="B18" s="4" t="s">
        <v>151</v>
      </c>
      <c r="C18" s="5"/>
    </row>
    <row r="19" spans="1:3" x14ac:dyDescent="0.2">
      <c r="A19" s="2">
        <v>13</v>
      </c>
      <c r="B19" s="4" t="s">
        <v>187</v>
      </c>
      <c r="C19" s="5"/>
    </row>
    <row r="20" spans="1:3" x14ac:dyDescent="0.2">
      <c r="A20" s="2">
        <v>14</v>
      </c>
      <c r="B20" s="4" t="s">
        <v>188</v>
      </c>
      <c r="C20" s="5"/>
    </row>
    <row r="21" spans="1:3" x14ac:dyDescent="0.2">
      <c r="A21" s="2">
        <v>15</v>
      </c>
      <c r="B21" s="4" t="s">
        <v>189</v>
      </c>
      <c r="C21" s="5"/>
    </row>
    <row r="22" spans="1:3" x14ac:dyDescent="0.2">
      <c r="A22" s="2">
        <v>16</v>
      </c>
      <c r="B22" s="4" t="s">
        <v>190</v>
      </c>
      <c r="C22" s="5"/>
    </row>
    <row r="23" spans="1:3" x14ac:dyDescent="0.2">
      <c r="A23" s="2">
        <v>17</v>
      </c>
      <c r="B23" s="4" t="s">
        <v>191</v>
      </c>
      <c r="C23" s="5"/>
    </row>
    <row r="24" spans="1:3" x14ac:dyDescent="0.2">
      <c r="A24" s="2">
        <v>18</v>
      </c>
      <c r="B24" s="4" t="s">
        <v>192</v>
      </c>
      <c r="C24" s="5"/>
    </row>
    <row r="25" spans="1:3" s="9" customFormat="1" ht="15.75" x14ac:dyDescent="0.25">
      <c r="A25" s="6"/>
      <c r="B25" s="7" t="s">
        <v>193</v>
      </c>
      <c r="C25" s="8"/>
    </row>
    <row r="26" spans="1:3" s="13" customFormat="1" x14ac:dyDescent="0.2">
      <c r="A26" s="10"/>
      <c r="B26" s="11" t="s">
        <v>194</v>
      </c>
      <c r="C26" s="12"/>
    </row>
    <row r="27" spans="1:3" s="13" customFormat="1" x14ac:dyDescent="0.2">
      <c r="A27" s="10"/>
      <c r="B27" s="11" t="s">
        <v>195</v>
      </c>
      <c r="C27" s="14"/>
    </row>
    <row r="28" spans="1:3" s="9" customFormat="1" ht="15.75" x14ac:dyDescent="0.25">
      <c r="A28" s="6"/>
      <c r="B28" s="15" t="s">
        <v>193</v>
      </c>
      <c r="C28" s="16"/>
    </row>
    <row r="29" spans="1:3" s="13" customFormat="1" x14ac:dyDescent="0.2">
      <c r="A29" s="10"/>
      <c r="B29" s="11" t="s">
        <v>196</v>
      </c>
      <c r="C29" s="14"/>
    </row>
    <row r="30" spans="1:3" s="9" customFormat="1" ht="15.75" x14ac:dyDescent="0.25">
      <c r="A30" s="17"/>
      <c r="B30" s="15" t="s">
        <v>197</v>
      </c>
      <c r="C30" s="18"/>
    </row>
  </sheetData>
  <mergeCells count="5">
    <mergeCell ref="A1:C1"/>
    <mergeCell ref="A2:C2"/>
    <mergeCell ref="A3:A5"/>
    <mergeCell ref="B3:B5"/>
    <mergeCell ref="C4: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7"/>
  <sheetViews>
    <sheetView workbookViewId="0">
      <selection activeCell="D17" sqref="D17"/>
    </sheetView>
  </sheetViews>
  <sheetFormatPr defaultColWidth="8.85546875" defaultRowHeight="15" x14ac:dyDescent="0.2"/>
  <cols>
    <col min="1" max="1" width="6.42578125" style="3" customWidth="1"/>
    <col min="2" max="2" width="57.85546875" style="3" customWidth="1"/>
    <col min="3" max="3" width="16.85546875" style="3" customWidth="1"/>
    <col min="4" max="4" width="19.7109375" style="3" customWidth="1"/>
    <col min="5" max="16384" width="8.85546875" style="3"/>
  </cols>
  <sheetData>
    <row r="1" spans="1:4" s="1" customFormat="1" ht="15.75" x14ac:dyDescent="0.25">
      <c r="A1" s="62" t="s">
        <v>176</v>
      </c>
      <c r="B1" s="62"/>
      <c r="C1" s="62"/>
      <c r="D1" s="62"/>
    </row>
    <row r="2" spans="1:4" s="1" customFormat="1" ht="15.75" x14ac:dyDescent="0.25">
      <c r="A2" s="63" t="s">
        <v>177</v>
      </c>
      <c r="B2" s="63"/>
      <c r="C2" s="63"/>
      <c r="D2" s="63"/>
    </row>
    <row r="3" spans="1:4" s="1" customFormat="1" ht="15.75" x14ac:dyDescent="0.25">
      <c r="A3" s="64" t="s">
        <v>178</v>
      </c>
      <c r="B3" s="64" t="s">
        <v>200</v>
      </c>
      <c r="C3" s="65" t="s">
        <v>2</v>
      </c>
      <c r="D3" s="65" t="s">
        <v>3</v>
      </c>
    </row>
    <row r="4" spans="1:4" s="1" customFormat="1" ht="15.75" x14ac:dyDescent="0.25">
      <c r="A4" s="64"/>
      <c r="B4" s="64"/>
      <c r="C4" s="66"/>
      <c r="D4" s="66"/>
    </row>
    <row r="5" spans="1:4" s="1" customFormat="1" ht="15.75" x14ac:dyDescent="0.25">
      <c r="A5" s="64"/>
      <c r="B5" s="64"/>
      <c r="C5" s="67"/>
      <c r="D5" s="67"/>
    </row>
    <row r="6" spans="1:4" x14ac:dyDescent="0.2">
      <c r="A6" s="2">
        <v>1</v>
      </c>
      <c r="B6" s="2">
        <v>2</v>
      </c>
      <c r="C6" s="2"/>
      <c r="D6" s="2">
        <v>3</v>
      </c>
    </row>
    <row r="7" spans="1:4" x14ac:dyDescent="0.2">
      <c r="A7" s="2">
        <v>1</v>
      </c>
      <c r="B7" s="4" t="s">
        <v>27</v>
      </c>
      <c r="C7" s="4" t="s">
        <v>6</v>
      </c>
      <c r="D7" s="20">
        <f>44268</f>
        <v>44268</v>
      </c>
    </row>
    <row r="8" spans="1:4" x14ac:dyDescent="0.2">
      <c r="A8" s="2">
        <v>2</v>
      </c>
      <c r="B8" s="4" t="s">
        <v>201</v>
      </c>
      <c r="C8" s="4" t="s">
        <v>6</v>
      </c>
      <c r="D8" s="20">
        <f>460</f>
        <v>460</v>
      </c>
    </row>
    <row r="9" spans="1:4" x14ac:dyDescent="0.2">
      <c r="A9" s="2"/>
      <c r="B9" s="4" t="s">
        <v>212</v>
      </c>
      <c r="C9" s="4" t="s">
        <v>6</v>
      </c>
      <c r="D9" s="20">
        <f>35.2</f>
        <v>35.200000000000003</v>
      </c>
    </row>
    <row r="10" spans="1:4" x14ac:dyDescent="0.2">
      <c r="A10" s="2">
        <v>3</v>
      </c>
      <c r="B10" s="4" t="s">
        <v>207</v>
      </c>
      <c r="C10" s="4" t="s">
        <v>6</v>
      </c>
      <c r="D10" s="20">
        <f>95.7+971.8+1490.66+143+3224.75</f>
        <v>5925.91</v>
      </c>
    </row>
    <row r="11" spans="1:4" x14ac:dyDescent="0.2">
      <c r="A11" s="2"/>
      <c r="B11" s="4"/>
      <c r="C11" s="4"/>
      <c r="D11" s="20"/>
    </row>
    <row r="12" spans="1:4" x14ac:dyDescent="0.2">
      <c r="A12" s="2"/>
      <c r="B12" s="4" t="s">
        <v>208</v>
      </c>
      <c r="C12" s="4" t="s">
        <v>6</v>
      </c>
      <c r="D12" s="20">
        <f>0.13+0.44+18.6+191+4.2+1.14+328+71+9.25+55</f>
        <v>678.76</v>
      </c>
    </row>
    <row r="13" spans="1:4" x14ac:dyDescent="0.2">
      <c r="A13" s="2"/>
      <c r="B13" s="4" t="s">
        <v>211</v>
      </c>
      <c r="C13" s="4" t="s">
        <v>10</v>
      </c>
      <c r="D13" s="20">
        <f>37+1292+2276.4+63.6+110+2735.5</f>
        <v>6514.5</v>
      </c>
    </row>
    <row r="14" spans="1:4" x14ac:dyDescent="0.2">
      <c r="A14" s="2"/>
      <c r="B14" s="4" t="s">
        <v>209</v>
      </c>
      <c r="C14" s="4" t="s">
        <v>7</v>
      </c>
      <c r="D14" s="21">
        <f>0.122+1.436+4.993+0.079+0.352</f>
        <v>6.9820000000000002</v>
      </c>
    </row>
    <row r="15" spans="1:4" x14ac:dyDescent="0.2">
      <c r="A15" s="2"/>
      <c r="B15" s="4" t="s">
        <v>210</v>
      </c>
      <c r="C15" s="4" t="s">
        <v>7</v>
      </c>
      <c r="D15" s="21">
        <f>0.013+0.431+0.983+0.022+0.052+2.51+0.231+0.385</f>
        <v>4.6269999999999998</v>
      </c>
    </row>
    <row r="16" spans="1:4" x14ac:dyDescent="0.2">
      <c r="A16" s="2">
        <v>4</v>
      </c>
      <c r="B16" s="4" t="s">
        <v>213</v>
      </c>
      <c r="C16" s="4" t="s">
        <v>7</v>
      </c>
      <c r="D16" s="20">
        <f>0.352+0.087+0.793+0.368+0.234</f>
        <v>1.8340000000000001</v>
      </c>
    </row>
    <row r="17" spans="1:4" x14ac:dyDescent="0.2">
      <c r="A17" s="2">
        <v>5</v>
      </c>
      <c r="B17" s="4" t="s">
        <v>202</v>
      </c>
      <c r="C17" s="4" t="s">
        <v>7</v>
      </c>
      <c r="D17" s="21">
        <v>1396.8309999999999</v>
      </c>
    </row>
    <row r="18" spans="1:4" x14ac:dyDescent="0.2">
      <c r="A18" s="2">
        <v>6</v>
      </c>
      <c r="B18" s="4" t="s">
        <v>203</v>
      </c>
      <c r="C18" s="4" t="s">
        <v>8</v>
      </c>
      <c r="D18" s="20">
        <v>56715</v>
      </c>
    </row>
    <row r="19" spans="1:4" x14ac:dyDescent="0.2">
      <c r="A19" s="2"/>
      <c r="B19" s="4" t="s">
        <v>149</v>
      </c>
      <c r="C19" s="4" t="s">
        <v>8</v>
      </c>
      <c r="D19" s="20">
        <f>627486+512883</f>
        <v>1140369</v>
      </c>
    </row>
    <row r="20" spans="1:4" x14ac:dyDescent="0.2">
      <c r="A20" s="2">
        <v>7</v>
      </c>
      <c r="B20" s="4" t="s">
        <v>204</v>
      </c>
      <c r="C20" s="4" t="s">
        <v>6</v>
      </c>
      <c r="D20" s="20">
        <f>113+0.23+2.64+396.3+235.9</f>
        <v>748.07</v>
      </c>
    </row>
    <row r="21" spans="1:4" x14ac:dyDescent="0.2">
      <c r="A21" s="2">
        <v>8</v>
      </c>
      <c r="B21" s="4" t="s">
        <v>205</v>
      </c>
      <c r="C21" s="4" t="s">
        <v>7</v>
      </c>
      <c r="D21" s="21">
        <f>0.298</f>
        <v>0.29799999999999999</v>
      </c>
    </row>
    <row r="22" spans="1:4" x14ac:dyDescent="0.2">
      <c r="A22" s="2">
        <v>9</v>
      </c>
      <c r="B22" s="4" t="s">
        <v>206</v>
      </c>
      <c r="C22" s="4" t="s">
        <v>7</v>
      </c>
      <c r="D22" s="21">
        <f>4.478</f>
        <v>4.4779999999999998</v>
      </c>
    </row>
    <row r="23" spans="1:4" x14ac:dyDescent="0.2">
      <c r="A23" s="2">
        <v>10</v>
      </c>
      <c r="B23" s="4" t="s">
        <v>214</v>
      </c>
      <c r="C23" s="4" t="s">
        <v>10</v>
      </c>
      <c r="D23" s="5">
        <f>111.8+180</f>
        <v>291.8</v>
      </c>
    </row>
    <row r="24" spans="1:4" x14ac:dyDescent="0.2">
      <c r="A24" s="2">
        <v>11</v>
      </c>
      <c r="B24" s="4"/>
      <c r="C24" s="4"/>
      <c r="D24" s="5"/>
    </row>
    <row r="25" spans="1:4" x14ac:dyDescent="0.2">
      <c r="A25" s="2">
        <v>12</v>
      </c>
      <c r="B25" s="4"/>
      <c r="C25" s="4"/>
      <c r="D25" s="5"/>
    </row>
    <row r="26" spans="1:4" x14ac:dyDescent="0.2">
      <c r="A26" s="2">
        <v>13</v>
      </c>
      <c r="B26" s="4"/>
      <c r="C26" s="4"/>
      <c r="D26" s="5"/>
    </row>
    <row r="27" spans="1:4" x14ac:dyDescent="0.2">
      <c r="A27" s="2">
        <v>14</v>
      </c>
      <c r="B27" s="4"/>
      <c r="C27" s="4"/>
      <c r="D27" s="5"/>
    </row>
    <row r="28" spans="1:4" x14ac:dyDescent="0.2">
      <c r="A28" s="2">
        <v>15</v>
      </c>
      <c r="B28" s="4"/>
      <c r="C28" s="4"/>
      <c r="D28" s="5"/>
    </row>
    <row r="29" spans="1:4" x14ac:dyDescent="0.2">
      <c r="A29" s="2">
        <v>16</v>
      </c>
      <c r="B29" s="4"/>
      <c r="C29" s="4"/>
      <c r="D29" s="5"/>
    </row>
    <row r="30" spans="1:4" x14ac:dyDescent="0.2">
      <c r="A30" s="2">
        <v>17</v>
      </c>
      <c r="B30" s="4"/>
      <c r="C30" s="4"/>
      <c r="D30" s="5"/>
    </row>
    <row r="31" spans="1:4" x14ac:dyDescent="0.2">
      <c r="A31" s="2">
        <v>18</v>
      </c>
      <c r="B31" s="4"/>
      <c r="C31" s="4"/>
      <c r="D31" s="5"/>
    </row>
    <row r="32" spans="1:4" s="9" customFormat="1" ht="15.75" x14ac:dyDescent="0.25">
      <c r="A32" s="6"/>
      <c r="B32" s="4"/>
      <c r="C32" s="7"/>
      <c r="D32" s="8"/>
    </row>
    <row r="33" spans="1:4" s="13" customFormat="1" x14ac:dyDescent="0.2">
      <c r="A33" s="10"/>
      <c r="B33" s="4"/>
      <c r="C33" s="11"/>
      <c r="D33" s="12"/>
    </row>
    <row r="34" spans="1:4" s="13" customFormat="1" x14ac:dyDescent="0.2">
      <c r="A34" s="10"/>
      <c r="B34" s="4"/>
      <c r="C34" s="11"/>
      <c r="D34" s="14"/>
    </row>
    <row r="35" spans="1:4" s="9" customFormat="1" ht="15.75" x14ac:dyDescent="0.25">
      <c r="A35" s="6"/>
      <c r="B35" s="4"/>
      <c r="C35" s="15"/>
      <c r="D35" s="16"/>
    </row>
    <row r="36" spans="1:4" s="13" customFormat="1" x14ac:dyDescent="0.2">
      <c r="A36" s="10"/>
      <c r="B36" s="11"/>
      <c r="C36" s="11"/>
      <c r="D36" s="14"/>
    </row>
    <row r="37" spans="1:4" s="9" customFormat="1" ht="15.75" x14ac:dyDescent="0.25">
      <c r="A37" s="17"/>
      <c r="B37" s="15"/>
      <c r="C37" s="15"/>
      <c r="D37" s="18"/>
    </row>
  </sheetData>
  <mergeCells count="6">
    <mergeCell ref="A1:D1"/>
    <mergeCell ref="A2:D2"/>
    <mergeCell ref="A3:A5"/>
    <mergeCell ref="B3:B5"/>
    <mergeCell ref="C3:C5"/>
    <mergeCell ref="D3:D5"/>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1</vt:lpstr>
      <vt:lpstr>ÜMUMİ HESABAT</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Sona Rahimli</cp:lastModifiedBy>
  <dcterms:created xsi:type="dcterms:W3CDTF">2026-02-13T07:56:40Z</dcterms:created>
  <dcterms:modified xsi:type="dcterms:W3CDTF">2026-04-29T09:26:06Z</dcterms:modified>
</cp:coreProperties>
</file>