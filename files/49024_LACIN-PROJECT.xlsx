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zeyneb.alamova\Downloads\"/>
    </mc:Choice>
  </mc:AlternateContent>
  <xr:revisionPtr revIDLastSave="0" documentId="8_{A7D51C71-92D5-4E0E-9ADC-9FDD900B4EA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 l="1"/>
  <c r="H5" i="1"/>
  <c r="H6" i="1"/>
  <c r="H7" i="1"/>
  <c r="H8" i="1"/>
  <c r="H9" i="1"/>
  <c r="H10" i="1"/>
  <c r="H11" i="1"/>
  <c r="H3" i="1"/>
  <c r="H13" i="1" l="1"/>
  <c r="H14" i="1" s="1"/>
  <c r="H15" i="1" s="1"/>
</calcChain>
</file>

<file path=xl/sharedStrings.xml><?xml version="1.0" encoding="utf-8"?>
<sst xmlns="http://schemas.openxmlformats.org/spreadsheetml/2006/main" count="44" uniqueCount="35">
  <si>
    <t>Satın alınması planlaşdırılan satınalma predmetinin</t>
  </si>
  <si>
    <t>texniki və keyfiyyət xüsusiyyəti</t>
  </si>
  <si>
    <t>miqdarı</t>
  </si>
  <si>
    <t>Fiziki Server</t>
  </si>
  <si>
    <t>ədəd</t>
  </si>
  <si>
    <t>2U 24 Chassis/ 2 x Intel Xeon Gold 6530 32C 270W 2.1GHz Processor/ 4 x  64GB DDR5 5600MHz (2Rx4) RDIMM/  2 x 2.5" VA 480GB Read lntensive SATA 6Gb HS SSD v2/ 6 x 2.5" 1.2TB 10K SAS  12Gb Hot Swap 512n HDD/ M.2 RAID SATA/NVMe
Adapter/ M.2 SATA/ 2 x  M.2 VA 480GB Read Intensive SATA 6Gb NHS SSD/ Broadcom 5719 1GbE RJ45 4-port Ethernet Adapter/  2U x16/x8/x8 PCIe Gen4 Riser1 or 2/ 2U x16/x16/E PCle Gen4 Riser1 or 2/ 2 x  1800W 230V Titanium Hot-Swap Gen2 Power Supply v5/ 2 x 2.8m, 13A/100-250V,  C13 to C14 Jumper Cord/ 6 x  2U V3 Performance Fan Module/ 2x   2U MS
Air Duct Filler(For 2U Gap)/ 1800W Ti Power rating Label WW/ 28 x   2 x 8x1 2.5" HDD Filler/ min 1Yr
Təklif olunan serverdə VMware ESXi hipervizorunun peşəkar səviyyədə quraşdırılması və ilkin konfiqurasiyası
•  Hazırki serverdən yeni serverə virtual maşınların (VM) miqrasiyası, yoxlanılması və optimallaşdırılması
•  Mövcud serverdə Veeam Backup program təminatının quraşdırılması, konfiqurasiyası və ehtiyat nüsxələrin yaradılmasının təmin edilməsi.
Bütün göstəricilər minimumla qeyd olunub.</t>
  </si>
  <si>
    <t>Total Network Interfaces 48x GE  RJ45 ports and 4x GE  SFP   ports Layer 2/3, Dedicated Management 10/100 Port 1, RJ-45 Serial Console Port 1,Form Factor 1 RU  Rack Mount ,Power over Ethernet (PoE) Ports 48 (802.3af/802.3at) ,PoE Power Budget 740 W , Mean Time Between Failures &gt; 10 years ,Switching Capacity (Duplex) 104 Gbps , Packets Per Second (Duplex) 155 Mpps,  MAC Address Storage 16 K, Network Latency &lt; 1ps, VLANs Supported 4 K, Link Aggregation Group Size 8, Total Link Aggregation Groups Up to number of ports, Packet Buffers 1.5  MB, Memory 512 MB DDR3, Flash 128 MB ,ACL 512,Spanning Tree Instances 32, Route Entries (IPv4/ipv6) 64/64,Host Entries (lPv4/IPv6) 512/512, Height x Depth x Width (inches) 1.73 x 16.1 x 17.3, Height x Depth x Width (mm) 44 x 410 x 440 ,Weight 13.44 lbs (6.1 kg) , Power Required 100—240V AC, 50/60 Hz, Power Supply AC built in, Redundant Power Optional FRPS-740 ,Power Consumption* (Average / Maximum)  842 W / 855.02 W, Heat Dissipation 162.87865 BTU/h, Operating Temperature 32°F to 122°F (0°C to 50°C) , Storage Temperature -4°F to 158°F (-20°C  to 70°C) , Humidity 10% to 90% non-condensing , Air-FIow Direction side-to-back, Noise Level 44.7 dBA. Bütün göstəricilər minimumla qeyd olunub.</t>
  </si>
  <si>
    <t>Total Network Interfaces 48K GE  RJ45 ports and 4x GE  SFP  ports Layer 2, Dedicated Management 10/100 Port 1, RJ-45 Serial Console Port 1,Form Factor 1 RU  Rack Mount ,Power over Ethernet (PoE) Ports 48 (802.3af/802.3at) ,PoE Power Budget 740 W , Mean Time Between Failures &gt; 10 years ,Switching Capacity (Duplex) 104 Gbps , Packets Per Second (Duplex) 155 Mpps,  MAC Address Storage 16 K, Network Latency &lt; 1ps, VLANs Supported 4 K, Link Aggregation Group Size 8, Total Link Aggregation Groups Up to number of ports, Packet Buffers 1.5  MB, Memory 512 MB DDR3, Flash 128 MB ,ACL 512,Spanning Tree Instances 32, Route Entries (IPv4/ipv6) 64/64,Host Entries (lPv4/lPv6) 512/512, Height x Depth x Width (inches) 1.73 x 16.1 x 17.3, Height x Depth x Width (mm) 44 x 410 x 440 ,Weight 13.44 Ibs (6.1 kg) , Power Required 100—240V AC, 50/60 Hz, Power Supply AC built in, Redundant Power Optional FRPS-740 ,Power Consumption* (Average / Maximum)  842 W / 855.02 W, Heat Dissipation 162.87865 BTU/h, Operating Temperature 32°F to 122°F (0°C to 50°C) , Storage Temperature -4°F to 158°F (-20°C to 70°C) , Humidity 10% to 90% non-condensing , Air-Flow Direction side-to-back, Noise Level 44.7 dBA. Bütün göstəricilər minimumla qeyd olunub.</t>
  </si>
  <si>
    <t>GE  RJ45 WAN / DMZ Ports min 2 / 1,GE RJ45 lnternal Ports min 4,GE RJ45 Ports (Default) 2,
USB  Ports 1,Console (RJ45) 1, Internal Storage 1 x 128 GB SSD,IPS Throughput 2 min 1.4 Gbps,
NGFW Throughput 2, 4 1 Gbps,Threat Protection Throughput 2, 5
min 800 Mbps,FirewaII Throughput (1518 / 512 / 64 byte UDP packets) min 10/10/6 Gbps,Firewall Latency (64 byte UDP packets) 2.54 ps, Firewall Throughput (Packets Per Second) 9 Mpps,Concurrent Sessions (TCP) min 1.5 M, New Sessions/Second (TCP) 35 000, Firewall Policies 5000, IPsec
VPN Throughput (512 byte) 1 6.1 Gbps, Gateway-to-Gateway lPsec VPN Tunnels 200, Client-to-Gateway IPsec VPN Tunnels 500, SSL-VPN Throughput min 405 Mbps, Concurrent SSL-VPN Users 200, SSL  lnspection Throughput (IPS, avg. HTTPS) 700 Mbps, SSL  lnspection CPS  (IPS, avg. HTTPS)  500
SSL  Inspection Concurrent Session (IPS, avg. HTTPS) 100 000
Application Control Throughput
(HTTP 64K) 1.8 Gbps CAPWAP Throughput (HTTP 64K) 8.5
Gbps Virtual Domains (Default / Maximum) 10 / 10 Maximum Number of Switches Supported 24 Maximum Number of APs (Total / Tunnel Mode) 64 / 32 Maximum Number of Tokens 500 High Availability Configurations Active-Active, Active-Passive, Clustering Height x Width x Length (inches) 1.5 x 8.5 x 6.3 Height  x Width x Length (mm) 38.5 x 216 x 160 mm Weight 2.23 lbs (1.01 kg) Form Factor Desktop Power Rating 12VDC, 3A Power Required Powered by External DC Power Adapter, 100—240V AC, 50/60 Hz Maximum Current 100VAC/1.0A, 240VAC/0.6A Power Consumption (Average / Maximum) 10.17 W / 12.43 W 17.2 W /
18.7 W Heat Dissipation 63.1 BTU/hr 63.8 BTU/hr Operating Temperature 32°F to 104°F (0°C to 40°C) Storage Temperature - 31°F to 158°F (-35°C to 70°C) Humidity Humidity 10% to 90% non-condensing
Noise Level 0 dBA Operating Altitude Up to 7400 ft (2250 m) Compliance FCC, ICES, CE, RCM, VCCI, BSMI, UL/cUL, CB
Certifications USGv6/IPv6, Year Unified Threat Protection (UTP) (IPS, Advanced Malware Protection, Application Control, URL, DNS &amp; Video Filtering, Antispam Service, and Care Premium). Bütün göstəricilər minimumla qeyd olunub.</t>
  </si>
  <si>
    <t>Firewall</t>
  </si>
  <si>
    <t>Switch</t>
  </si>
  <si>
    <t>Users: 100 (up to 200), Min. Concurrent Calls. 30 (up to 60), Min Analog Ports: 8, Min BRI  Ports. 8, Min Cellular Ports: 4, Min E1/T1/J1
Ports: 1, Expanion Boards: 1*EX30/EX08+1*D30, External
Storage: USB,HDD</t>
  </si>
  <si>
    <t>IP ATS</t>
  </si>
  <si>
    <t>PDU</t>
  </si>
  <si>
    <t>Rack kabin</t>
  </si>
  <si>
    <t>19” rack uyğun, 2U hündürlüklü PDU. 9 ədəd çıxış (soket) ilə təchiz olunub. Sigortalı mühafizə sisteminə malikdir. 1.5 m, 3 1.5 mm* TTR kabel ilə gəlir (model: SH192109132). Rack sistemlərində etibarlı enerji paylanması</t>
  </si>
  <si>
    <t>Divar tipli 9U rack şkafı, ölçüləri - 600x600 mm. Ventilyator və rəf daxil deyil. Metal konstruksiya, şüşə ön qapı, kabel idarəetməsi
üçün girişlər və etibarlı montaj imkanı ilə şəbəkə və avadanlıq</t>
  </si>
  <si>
    <t>J45/RJ12/RJ11 konnektorları üçün çoxfunksiyalı alət; kabel soyma, kəsmə və krimpləmə funksiyaları; Cat5/Cat5e/Cat6/Cat6a şəbəkə kabelləri və 8P8C/6P6C/4P4C konnektorları ilə uyğundur; yüksək keyfiyyətli polad bədən, korroziyaya davamlı, ergonomik kauçuk tutacaq; uzunluq 200 mm, çəki ∼0.35∼0.4 kg; işləmə temperaturu ∼10°C ∼ 50°C; təzyiq tənzimləmə mexanizmi ilə dəqiq
və bərabər krimplemə</t>
  </si>
  <si>
    <t>AC gərginlik 200 mV—600 V +1.2% və ya ekvivalent, DC gərginlik 200 mV—600 V +0.8% və ya ekvivalent, AC/DC cərəyan 200 μA—10 A və ya ekvivalent, müqavimət 200 Ω—20 Ω MΩ +1.0% və ya ekvivalent, diod testi 0.1—2.0 V və ya ekvivalent, davamlılıq buzzer siqnalı və ya ekvivalent funksiyalı; minimum 3.5 digit LCD ekran və ya ekvivalent (4 digit və daha yüksək daxil olmaqla); minimum CAT ll 600 V / CAT III 300 V təhlükəsizlik sinifi və ya CAT IV səviyyəsinə qədər ekvivalent və daha yüksək qoruma sinifləri; 9 V (6F22) batareya ilə işləmə və ya ekvivalent enerji mənbəyi; ölçü 165x76x36 mm və ya ekvivalent kompakt dizayn; çəki 250 q və ya ekvivalent portativ konstruksiya; kompakt əl tipli multimeter dizaynı və ya ekvivalent</t>
  </si>
  <si>
    <t>TOPLAM</t>
  </si>
  <si>
    <t>S/N</t>
  </si>
  <si>
    <t>Təklif edilən model</t>
  </si>
  <si>
    <t>CP-376ER KRİMPER</t>
  </si>
  <si>
    <t>QİYMƏT</t>
  </si>
  <si>
    <t>ƏDV (18%)</t>
  </si>
  <si>
    <t>Qiymət
(ƏDV-li)</t>
  </si>
  <si>
    <t>Məbləğ
(ƏDV-li)</t>
  </si>
  <si>
    <t>Ölçü 
Vahidi</t>
  </si>
  <si>
    <t>VOLTAM - VR-6609 - 9U  Rack Cabin 600x600x500 mm Wall mounted</t>
  </si>
  <si>
    <t>VOLTAM PD-01 6 way EU type PDU</t>
  </si>
  <si>
    <r>
      <rPr>
        <sz val="12"/>
        <color rgb="FF232323"/>
        <rFont val="Times New Roman"/>
        <family val="1"/>
      </rPr>
      <t>Kabel tester</t>
    </r>
  </si>
  <si>
    <r>
      <rPr>
        <sz val="12"/>
        <color rgb="FF1A1A1A"/>
        <rFont val="Times New Roman"/>
        <family val="1"/>
      </rPr>
      <t>Kabel Sıxan</t>
    </r>
  </si>
  <si>
    <t>Reyee Switch RG-NBS5200-48GT4XS-UP (52-Port Gigabit L2 Cloud Managed PoE Switch,48 Gigabit PoE+ Ports, 4 SFP, 370W)</t>
  </si>
  <si>
    <t>Ruijie Switch RG-S5310-48GT4XS-P-E( 48-Port GE Layer 3 Managed Switch .4-1G/10G SFP+ Ports, support PoE+, max 1440w for PoE)</t>
  </si>
  <si>
    <t>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</si>
</sst>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2C]"/>
  </numFmts>
  <fonts count="8" x14ac:knownFonts="1">
    <font>
      <sz val="11"/>
      <color theme="1"/>
      <name val="Calibri"/>
      <family val="2"/>
      <scheme val="minor"/>
    </font>
    <font>
      <b/>
      <sz val="15"/>
      <color theme="1"/>
      <name val="Calibri"/>
      <family val="2"/>
      <scheme val="minor"/>
    </font>
    <font>
      <sz val="15"/>
      <color theme="1"/>
      <name val="Calibri"/>
      <family val="2"/>
      <scheme val="minor"/>
    </font>
    <font>
      <b/>
      <sz val="14"/>
      <color theme="1"/>
      <name val="Times New Roman"/>
      <family val="1"/>
    </font>
    <font>
      <sz val="12"/>
      <color theme="1"/>
      <name val="Times New Roman"/>
      <family val="1"/>
    </font>
    <font>
      <sz val="12"/>
      <name val="Times New Roman"/>
      <family val="1"/>
    </font>
    <font>
      <sz val="12"/>
      <color rgb="FF232323"/>
      <name val="Times New Roman"/>
      <family val="1"/>
    </font>
    <font>
      <sz val="12"/>
      <color rgb="FF1A1A1A"/>
      <name val="Times New Roman"/>
      <family val="1"/>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center"/>
    </xf>
    <xf numFmtId="0" fontId="0" fillId="0" borderId="0" xfId="0" applyAlignment="1">
      <alignment wrapText="1"/>
    </xf>
    <xf numFmtId="0" fontId="1" fillId="0" borderId="1" xfId="0" applyFont="1" applyBorder="1" applyAlignment="1">
      <alignment horizontal="center" vertical="center"/>
    </xf>
    <xf numFmtId="164" fontId="2" fillId="0" borderId="1" xfId="0" applyNumberFormat="1" applyFont="1" applyBorder="1" applyAlignment="1">
      <alignment horizontal="right" vertical="center"/>
    </xf>
    <xf numFmtId="164" fontId="1" fillId="0" borderId="1" xfId="0" applyNumberFormat="1" applyFont="1" applyBorder="1" applyAlignment="1">
      <alignment horizontal="righ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top" wrapText="1"/>
    </xf>
    <xf numFmtId="164" fontId="4" fillId="0" borderId="1" xfId="0" applyNumberFormat="1" applyFont="1" applyBorder="1" applyAlignment="1">
      <alignment horizontal="righ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right"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zoomScale="70" zoomScaleNormal="70" workbookViewId="0">
      <selection activeCell="J6" sqref="J6"/>
    </sheetView>
  </sheetViews>
  <sheetFormatPr defaultRowHeight="31.05" customHeight="1" x14ac:dyDescent="0.3"/>
  <cols>
    <col min="1" max="1" width="5" style="2" bestFit="1" customWidth="1"/>
    <col min="2" max="2" width="12.5546875" style="4" bestFit="1" customWidth="1"/>
    <col min="3" max="3" width="123.5546875" style="3" customWidth="1"/>
    <col min="4" max="4" width="10.88671875" style="2" bestFit="1" customWidth="1"/>
    <col min="5" max="5" width="8.88671875" style="2"/>
    <col min="6" max="6" width="57.88671875" style="2" customWidth="1"/>
    <col min="7" max="7" width="14.21875" style="2" bestFit="1" customWidth="1"/>
    <col min="8" max="8" width="15.6640625" style="2" bestFit="1" customWidth="1"/>
    <col min="9" max="16384" width="8.88671875" style="1"/>
  </cols>
  <sheetData>
    <row r="1" spans="1:8" ht="31.05" customHeight="1" x14ac:dyDescent="0.3">
      <c r="A1" s="23" t="s">
        <v>20</v>
      </c>
      <c r="B1" s="23" t="s">
        <v>0</v>
      </c>
      <c r="C1" s="23"/>
      <c r="D1" s="23"/>
      <c r="E1" s="23"/>
      <c r="F1" s="23"/>
      <c r="G1" s="23"/>
      <c r="H1" s="23"/>
    </row>
    <row r="2" spans="1:8" ht="31.05" customHeight="1" x14ac:dyDescent="0.3">
      <c r="A2" s="23"/>
      <c r="B2" s="9" t="s">
        <v>34</v>
      </c>
      <c r="C2" s="9" t="s">
        <v>1</v>
      </c>
      <c r="D2" s="10" t="s">
        <v>27</v>
      </c>
      <c r="E2" s="9" t="s">
        <v>2</v>
      </c>
      <c r="F2" s="9" t="s">
        <v>21</v>
      </c>
      <c r="G2" s="10" t="s">
        <v>25</v>
      </c>
      <c r="H2" s="10" t="s">
        <v>26</v>
      </c>
    </row>
    <row r="3" spans="1:8" ht="31.05" customHeight="1" x14ac:dyDescent="0.3">
      <c r="A3" s="11">
        <v>1</v>
      </c>
      <c r="B3" s="12" t="s">
        <v>3</v>
      </c>
      <c r="C3" s="13" t="s">
        <v>5</v>
      </c>
      <c r="D3" s="11" t="s">
        <v>4</v>
      </c>
      <c r="E3" s="11">
        <v>1</v>
      </c>
      <c r="F3" s="11"/>
      <c r="G3" s="14">
        <v>0</v>
      </c>
      <c r="H3" s="14">
        <f>SUM(G3*E3)</f>
        <v>0</v>
      </c>
    </row>
    <row r="4" spans="1:8" s="5" customFormat="1" ht="31.05" customHeight="1" x14ac:dyDescent="0.3">
      <c r="A4" s="15">
        <v>2</v>
      </c>
      <c r="B4" s="16" t="s">
        <v>9</v>
      </c>
      <c r="C4" s="13" t="s">
        <v>8</v>
      </c>
      <c r="D4" s="15" t="s">
        <v>4</v>
      </c>
      <c r="E4" s="15">
        <v>2</v>
      </c>
      <c r="F4" s="15"/>
      <c r="G4" s="17">
        <v>0</v>
      </c>
      <c r="H4" s="17">
        <f t="shared" ref="H4:H11" si="0">SUM(G4*E4)</f>
        <v>0</v>
      </c>
    </row>
    <row r="5" spans="1:8" s="5" customFormat="1" ht="67.2" customHeight="1" x14ac:dyDescent="0.3">
      <c r="A5" s="15">
        <v>3</v>
      </c>
      <c r="B5" s="16" t="s">
        <v>10</v>
      </c>
      <c r="C5" s="13" t="s">
        <v>6</v>
      </c>
      <c r="D5" s="15" t="s">
        <v>4</v>
      </c>
      <c r="E5" s="15">
        <v>1</v>
      </c>
      <c r="F5" s="15" t="s">
        <v>32</v>
      </c>
      <c r="G5" s="17">
        <v>2890.5</v>
      </c>
      <c r="H5" s="17">
        <f t="shared" si="0"/>
        <v>2890.5</v>
      </c>
    </row>
    <row r="6" spans="1:8" s="5" customFormat="1" ht="77.400000000000006" customHeight="1" x14ac:dyDescent="0.3">
      <c r="A6" s="15">
        <v>4</v>
      </c>
      <c r="B6" s="16" t="s">
        <v>10</v>
      </c>
      <c r="C6" s="13" t="s">
        <v>7</v>
      </c>
      <c r="D6" s="15" t="s">
        <v>4</v>
      </c>
      <c r="E6" s="15">
        <v>2</v>
      </c>
      <c r="F6" s="15" t="s">
        <v>33</v>
      </c>
      <c r="G6" s="17">
        <v>3467.44</v>
      </c>
      <c r="H6" s="17">
        <f t="shared" si="0"/>
        <v>6934.88</v>
      </c>
    </row>
    <row r="7" spans="1:8" s="5" customFormat="1" ht="31.05" customHeight="1" x14ac:dyDescent="0.3">
      <c r="A7" s="15">
        <v>5</v>
      </c>
      <c r="B7" s="16" t="s">
        <v>12</v>
      </c>
      <c r="C7" s="13" t="s">
        <v>11</v>
      </c>
      <c r="D7" s="15" t="s">
        <v>4</v>
      </c>
      <c r="E7" s="15">
        <v>1</v>
      </c>
      <c r="F7" s="15"/>
      <c r="G7" s="17">
        <v>0</v>
      </c>
      <c r="H7" s="17">
        <f t="shared" si="0"/>
        <v>0</v>
      </c>
    </row>
    <row r="8" spans="1:8" s="5" customFormat="1" ht="31.2" x14ac:dyDescent="0.3">
      <c r="A8" s="18">
        <v>6</v>
      </c>
      <c r="B8" s="19" t="s">
        <v>13</v>
      </c>
      <c r="C8" s="13" t="s">
        <v>15</v>
      </c>
      <c r="D8" s="15" t="s">
        <v>4</v>
      </c>
      <c r="E8" s="15">
        <v>2</v>
      </c>
      <c r="F8" s="15" t="s">
        <v>29</v>
      </c>
      <c r="G8" s="17">
        <v>25</v>
      </c>
      <c r="H8" s="17">
        <f t="shared" si="0"/>
        <v>50</v>
      </c>
    </row>
    <row r="9" spans="1:8" s="5" customFormat="1" ht="31.2" x14ac:dyDescent="0.3">
      <c r="A9" s="18">
        <v>7</v>
      </c>
      <c r="B9" s="19" t="s">
        <v>14</v>
      </c>
      <c r="C9" s="13" t="s">
        <v>16</v>
      </c>
      <c r="D9" s="15" t="s">
        <v>4</v>
      </c>
      <c r="E9" s="15">
        <v>1</v>
      </c>
      <c r="F9" s="15" t="s">
        <v>28</v>
      </c>
      <c r="G9" s="17">
        <v>113.22</v>
      </c>
      <c r="H9" s="17">
        <f t="shared" si="0"/>
        <v>113.22</v>
      </c>
    </row>
    <row r="10" spans="1:8" s="5" customFormat="1" ht="31.05" customHeight="1" x14ac:dyDescent="0.3">
      <c r="A10" s="15">
        <v>8</v>
      </c>
      <c r="B10" s="20" t="s">
        <v>30</v>
      </c>
      <c r="C10" s="21" t="s">
        <v>18</v>
      </c>
      <c r="D10" s="15" t="s">
        <v>4</v>
      </c>
      <c r="E10" s="15">
        <v>1</v>
      </c>
      <c r="F10" s="15"/>
      <c r="G10" s="17">
        <v>0</v>
      </c>
      <c r="H10" s="17">
        <f t="shared" si="0"/>
        <v>0</v>
      </c>
    </row>
    <row r="11" spans="1:8" s="5" customFormat="1" ht="15.6" x14ac:dyDescent="0.3">
      <c r="A11" s="15">
        <v>9</v>
      </c>
      <c r="B11" s="20" t="s">
        <v>31</v>
      </c>
      <c r="C11" s="22" t="s">
        <v>17</v>
      </c>
      <c r="D11" s="15" t="s">
        <v>4</v>
      </c>
      <c r="E11" s="15">
        <v>1</v>
      </c>
      <c r="F11" s="15" t="s">
        <v>22</v>
      </c>
      <c r="G11" s="17">
        <v>77.44</v>
      </c>
      <c r="H11" s="17">
        <f t="shared" si="0"/>
        <v>77.44</v>
      </c>
    </row>
    <row r="13" spans="1:8" ht="31.05" customHeight="1" x14ac:dyDescent="0.3">
      <c r="G13" s="6" t="s">
        <v>23</v>
      </c>
      <c r="H13" s="7">
        <f>SUM(H3:H11)</f>
        <v>10066.040000000001</v>
      </c>
    </row>
    <row r="14" spans="1:8" ht="31.05" customHeight="1" x14ac:dyDescent="0.3">
      <c r="G14" s="6" t="s">
        <v>24</v>
      </c>
      <c r="H14" s="7">
        <f>SUM(H13*0.18)</f>
        <v>1811.8872000000001</v>
      </c>
    </row>
    <row r="15" spans="1:8" ht="31.05" customHeight="1" x14ac:dyDescent="0.3">
      <c r="G15" s="6" t="s">
        <v>19</v>
      </c>
      <c r="H15" s="8">
        <f>SUM(H13:H14)</f>
        <v>11877.927200000002</v>
      </c>
    </row>
  </sheetData>
  <mergeCells count="2">
    <mergeCell ref="A1:A2"/>
    <mergeCell ref="B1:H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Firuz</dc:creator>
  <cp:lastModifiedBy>Zeyneb Alamova</cp:lastModifiedBy>
  <dcterms:created xsi:type="dcterms:W3CDTF">2015-06-05T18:17:20Z</dcterms:created>
  <dcterms:modified xsi:type="dcterms:W3CDTF">2026-05-31T12:39:20Z</dcterms:modified>
</cp:coreProperties>
</file>