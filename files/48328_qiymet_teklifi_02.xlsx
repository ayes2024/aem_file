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56C91ED1-5061-421D-864F-EFEB06137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tınal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15" i="1"/>
  <c r="E12" i="1"/>
  <c r="E10" i="1"/>
  <c r="E9" i="1"/>
  <c r="E8" i="1"/>
  <c r="E16" i="1"/>
  <c r="E18" i="1"/>
  <c r="E21" i="1"/>
  <c r="E20" i="1"/>
  <c r="E22" i="1"/>
  <c r="E23" i="1"/>
  <c r="E26" i="1"/>
  <c r="E34" i="1"/>
  <c r="E14" i="1"/>
  <c r="E4" i="1"/>
</calcChain>
</file>

<file path=xl/sharedStrings.xml><?xml version="1.0" encoding="utf-8"?>
<sst xmlns="http://schemas.openxmlformats.org/spreadsheetml/2006/main" count="90" uniqueCount="59">
  <si>
    <t>Məhsul</t>
  </si>
  <si>
    <t>Miqdar</t>
  </si>
  <si>
    <t>Ədəd</t>
  </si>
  <si>
    <t>Vahid</t>
  </si>
  <si>
    <t>Micro SD Kart (256 GB)
Oxuma sürəti 130 MB/s-ə qədər
Suya və rentgen şüalarına davamlı</t>
  </si>
  <si>
    <t>Naqilli siçan (mouse)
USB kabel ilə (USB 2./3.0 uyumlu)
DPI: Minimum 1000 DPI
Uyğunluq: Windows 10 və 11 əməliyyat sistemləri ilə uyğunluq
Kabel uzunluğu: Minimum 1 metr</t>
  </si>
  <si>
    <t>Naqilsiz siçan (mouse)
2.4 GHz tezlikli USB qəbuledici
10 metrə qədər siqnal ötürmə
DPI: Minimum 1000 DPI
Uyğunluq: Windows 10 və 11 əməliyyat sistemləri ilə uyğunluq
Kabel uzunluğu: Minimum 1 metr</t>
  </si>
  <si>
    <t>Mouse altlığı
Mikro-toxunuşlu parça səth
Sürüşməyən rezin altlıq
Qalınlığı: 3 mm
Ölçüsü: 437 x 400 mm</t>
  </si>
  <si>
    <t>Naqilsiz klaviatura
2.4 GHz radio tezliyi (USB qəbuledici)
Membran tipli düymələr
Nömrə bloklu (numpad)
Kabel uzunluğu: 1.5m</t>
  </si>
  <si>
    <t xml:space="preserve">CAT 6 Outdoor  (305m buxta)
Kabelin konstruksiyası: S/FTP (Hər cüt fərdi ekranlı + ümumi hörük ekran)
İstismar mühiti: Çöl şəraiti (Outdoor)
Xarici qatın materialı: PE (Polietilen)
AWG kalibri: 23 AWG
</t>
  </si>
  <si>
    <t>HDMI - 1.5 metr
Minimal ötürmə sürəti (bandwidth): 18 Gbps və ya daha yüksək
HDR dəstəyi: Bəli
Audio dəstəyi: Dolby Digital, DTS və ya ekvivalent
HDCP dəstəyi: HDCP 2.2 və ya daha yüksək
Konnektorlar: Qızıl örtüklü (gold-plated) və ya ekvivalent korroziyaya davamlı
Kabel quruluşu: Çoxqatlı ekranlama (shielded)
Xarici örtük: PVC və ya möhkəm izolyasiyalı material</t>
  </si>
  <si>
    <t>LAN kabel başlığı sıxmaq üçün krimper
8P/RJ45, 6P/RJ-11 başlıqları üçün
Sərtlik HV555~650°
Uzunluq: 200 mm</t>
  </si>
  <si>
    <t>RJ 45 LAN Başlıq (100 ədəd)
Ekranlaşdırılmış (metal korpuslu), 8P8C 
50µ qızıl örtüklü kontaktlar 
23-24 AWG kabel üçün</t>
  </si>
  <si>
    <t>Xarici SSD - 1TB
USB 3.0/3.2 Gen 2 (Type-C)
 Oxuma 1050 MB/s, yazma 1000 MB/s. 
Zərbəyə davamlı korpus</t>
  </si>
  <si>
    <t>USB Flash Kart (64 GB)
USB 3.0 / 3.2 Gen 1 interfeysi. 
Oxuma sürəti 150 MB/s-ə qədər. 
Metal korpus</t>
  </si>
  <si>
    <t>HDMI - 3 metr
Minimal ötürmə sürəti (bandwidth): 18 Gbps və ya daha yüksək
HDR dəstəyi: Bəli
Audio dəstəyi: Dolby Digital, DTS və ya ekvivalent
HDCP dəstəyi: HDCP 2.2 və ya daha yüksək
Konnektorlar: Qızıl örtüklü (gold-plated) və ya ekvivalent korroziyaya davamlı
Kabel quruluşu: Çoxqatlı ekranlama (shielded)
Xarici örtük: PVC və ya möhkəm izolyasiyalı material</t>
  </si>
  <si>
    <t>Qutu</t>
  </si>
  <si>
    <t>Patch cord CAT 6 - 3 metr
RJ45 8P8C başlıq
Gold-plated (qızıl örtüklü) kontaktlar – minimum 50 µm qızıl örtük
Metal korpuslu ekranlı konnektor (shielded)
100 MHz-ə qədər bant genişliyi (və ya daha yüksək)
Uyğunluq: Gigabit Ethernet (1000 Base-T) və daha yüksək sürətlər üçün uyğun
Material: Saf oksigen-free copper (OFC) konduktorlar
Keçid diametri: 23 AWG (optimal performans üçün)</t>
  </si>
  <si>
    <t>Patch cord CAT 6 - 5 metr
RJ45 8P8C başlıq
Gold-plated (qızıl örtüklü) kontaktlar – minimum 50 µm qızıl örtük
Metal korpuslu ekranlı konnektor (shielded)
100 MHz-ə qədər bant genişliyi (və ya daha yüksək)
Uyğunluq: Gigabit Ethernet (1000 Base-T) və daha yüksək sürətlər üçün uyğun
Material: Saf oksigen-free copper (OFC) konduktorlar
Keçid diametri: 23 AWG (optimal performans üçün)</t>
  </si>
  <si>
    <t>Patch cord CAT 6 - 10 metr
RJ45 8P8C başlıq
Gold-plated (qızıl örtüklü) kontaktlar – minimum 50 µm qızıl örtük
Metal korpuslu ekranlı konnektor (shielded)
100 MHz-ə qədər bant genişliyi (və ya daha yüksək)
Uyğunluq: Gigabit Ethernet (1000 Base-T) və daha yüksək sürətlər üçün uyğun
Material: Saf oksigen-free copper (OFC) konduktorlar
Keçid diametri: 23 AWG (optimal performans üçün)</t>
  </si>
  <si>
    <t>Naqilli klaviatura
Membran tipli düymələr
Nömrə bloklu (numpad)
Kabel uzunluğu: 1.5m</t>
  </si>
  <si>
    <t>Kompüter adapteri üçün ötürücü (perexodnik)
Material: İzolyasiyalı plastik korpus
Gərginlik: 110 V–240 V AC
Uyğunluq: Avropa və digər beynəlxalq fiş növləri üçün keçid funksiyası</t>
  </si>
  <si>
    <t>Buxta</t>
  </si>
  <si>
    <t>HDMI Splitter
Giriş: 1 × HDMI
 Çıxış: 8 × HDMI
Maksimum dəstək: 4K @ 60 Hz
HDMI versiyası: HDMI 2.0
HDCP dəstəyi: HDCP 1.4 / 2.2
Audio dəstək: Dolby, DTS, LPCM
Metal korpus</t>
  </si>
  <si>
    <t>Elektrik uzadıcısı
Çıxışların sayı: 8 ədəd
Priz tipi: Type F (Schuko), torpaqlamalı
Nominal gərginlik: 230 V AC
Maksimum cərəyan: 16 A
Maksimum yük gücü: təxminən 3500 W
Kabel uzunluğu: 20 metr
Kabel tipi: 3 damarlı (faz, neytral, torpaq)
Kabel kəsiyi: 3 x 1.0 mm²
Keçirici material: Mis
Açar: Var (ümumi açma/söndürmə düyməsi)</t>
  </si>
  <si>
    <t>Elektrik uzadıcısı
Çıxışların sayı: 8 ədəd
Priz tipi: Type F (Schuko), torpaqlamalı
Nominal gərginlik: 230 V AC
Maksimum cərəyan: 16 A
Maksimum yük gücü: təxminən 3500 W
Kabel uzunluğu: 10 metr
Kabel tipi: 3 damarlı (faz, neytral, torpaq)
Kabel kəsiyi: 3 x 1.0 mm²
Keçirici material: Mis
Açar: Var (ümumi açma/söndürmə düyməsi)</t>
  </si>
  <si>
    <t>LAN Switch
8 × RJ-45 10/100/1000 Mbps port
Sürət: Gigabit (1000 Mbps) hər portda
Switch gücü : 16 Gbps
İdarə olunmayan (Unmanaged) — konfiqurasiya tələb etməyən
Crossover kabellər olmadan da qoşulma</t>
  </si>
  <si>
    <t>Fiber optik HDMI - 30 metr
Minimal ötürmə sürəti (bandwidth): 18 Gbps və ya daha yüksək
HDR dəstəyi: Bəli
Audio dəstəyi: Dolby Digital, DTS və ya ekvivalent
HDCP dəstəyi: HDCP 2.2 və ya daha yüksək
Minimal siqnat itirilməsi
Torpaq və qoruma: Shielded / Folqa + hörgü
Konnektorlar: Qızıl örtüklü (gold-plated) və ya ekvivalent korroziyaya davamlı
Kabel quruluşu: Çoxqatlı ekranlama (shielded)
Xarici örtük: PVC və ya möhkəm izolyasiyalı material</t>
  </si>
  <si>
    <t>Fiber optik HDMI - 50 metr
Minimal ötürmə sürəti (bandwidth): 18 Gbps və ya daha yüksək
HDR dəstəyi: Bəli
Audio dəstəyi: Dolby Digital, DTS və ya ekvivalent
HDCP dəstəyi: HDCP 2.2 və ya daha yüksək
Minimal siqnat itirilməsi
Torpaq və qoruma: Shielded / Folqa + hörgü
Konnektorlar: Qızıl örtüklü (gold-plated) və ya ekvivalent korroziyaya davamlı
Kabel quruluşu: Çoxqatlı ekranlama (shielded)
Xarici örtük: PVC və ya möhkəm izolyasiyalı material</t>
  </si>
  <si>
    <t>Elektrik uzadıcısı
Çıxışların sayı: 6 ədəd
Priz tipi: Type F (Schuko), torpaqlamalı
Nominal gərginlik: 230 V AC
Maksimum cərəyan: 16 A
Maksimum yük gücü: təxminən 3500 W
Kabel uzunluğu: 5 metr
Kabel tipi: 3 damarlı (faz, neytral, torpaq)
Kabel kəsiyi: 3 x 1.0 mm²
Keçirici material: Mis
Açar: Var (ümumi açma/söndürmə düyməsi)</t>
  </si>
  <si>
    <t>Metr</t>
  </si>
  <si>
    <t xml:space="preserve"> Televizor
Ekran ölçüsü: 65″ (≈164 sm diaqonal)
Növ: LED (Full Array / Local Dimming
4K UHD (3840 × 2160) çözünürlük
HDR dəstəyi: HDR10, HLG, Dolby Vision – daha yüksək kontrast və rəng dərinliyi
100+ Hz təzələmə – hamar hərəkətlər üçün əla seçim
Acoustic Multi-Audio səs sistemi – daha real səslənmə üçün
Dolby Audio &amp; Dolby Atmos dəstəyi – kino tərzi səs təcrübəsi
Səs çıxışı: 10 W + 10 W + 5 W + 5 W
4 × HDMI – video/AV cihazlar üçün
2 × USB – media oynatma və yükləmə üçün</t>
  </si>
  <si>
    <t xml:space="preserve">SDİ Kabel üçün başlıq
Canare 12G-sertifikatlı və ya Neutrik 12G-sertifikatlı BNC başlıqları ilə (uzunluğuna görə dəyişir) </t>
  </si>
  <si>
    <t>SDI Kabel
Sommer Cable 75 Ω SDI/HDTV Cable by Sommer Cable Germany
Nominal impedans: 75 Ω (standart HDTV/SDI koaksial impedans)
Kapasitans: təxminən 52 pF/m (metrlə ölçülür və kabel tipi ilə dəyişə bilər)
Dalğa sürəti (Velocity factor): təxminən 0.80</t>
  </si>
  <si>
    <t>Kompüter üçün çanta 
15.6 düyümlü noutbuk üçün
İçi yastıqlı bölmə
Aksesuar üçün cib / göz (adapter, kabellər, telefon üçün) 
Suya davamlı səth</t>
  </si>
  <si>
    <t>Kompüter üçün adapter
Gücü: 45 W
Giriş (Input): 100–240 V ~ 1.4 A, 50–60 Hz
Çıxış (Output): 19.5 V ⎓ 2.31 A</t>
  </si>
  <si>
    <t>Qulaqlıq
Driver ölçüsü: 40 mm və daha böyük
Səs cavab aralığı: 20 Hz – 20 kHz
Empedans: 32 Ω – 60 Ω
Həssaslıq: ≥98 dB
Konnektor: 3.5 mm Jack
Kabel: 1.2 m – 3 m, mümkün çıxarılan
Over‑ear / On‑ear: Daha yaxşı səs izolyasiyası
Mikrofon: Boom (uzanan) və ya inline: 
Səsli zəng üçün aydın danışıq</t>
  </si>
  <si>
    <t>Starlink Standart
Yüksək sürətli daşınabilən şəbəkə cihazı
Geniş əhatə — peyk şəbəkəsi vasitəsilə internet
Wi‑Fi texnologiyası: 802.11 a/b/g/n/ac/ax – bu, Wi‑Fi 6 standartıdır (yüksək sürət və stabil əlaqə).
Radio: Tri‑band 4×4 MU‑MIMO — bir çox cihazı eyni anda sürətli qoşmağa imkan verir.
Ethernet portlar: 2 LAN portu — kabel ilə cihazlara birbaşa qoşulma.
 Əhatə sahəsi: Təxminən 297 m² (çox otaqlı ev və ofis üçün yetərlidir).
Əlaqə tutumu: təxminən 235 cihaz‑a qədər Wi‑Fi qoşula bilə</t>
  </si>
  <si>
    <t xml:space="preserve">CAT  6 (305m buxta)
Kabelin konstruksiyası: S/FTP (Hər cüt fərdi ekranlı + ümumi hörük ekran)
Data sürəti: Up to 10 Gbps və daha yuxarı
Material: Qurğuşunsuz mis (Cu, solid)
Maksimum bant genişliyi: 600 MHz – 1000 MHz
AWG kalibri: 23 AWG
</t>
  </si>
  <si>
    <t xml:space="preserve">CAT  7 (305m buxta)
Kabelin konstruksiyası: S/FTP (Hər cüt fərdi ekranlı + ümumi hörük ekran)
Data sürəti: Up to 10 Gbps və daha yuxarı
Material: Qurğuşunsuz mis (Cu, solid)
Maksimum bant genişliyi: 600 MHz – 1000 MHz
AWG kalibri: 23 AWG
</t>
  </si>
  <si>
    <t>Vahidin qiyməti</t>
  </si>
  <si>
    <t>Cəmi Qiymət</t>
  </si>
  <si>
    <t>Total qiymət yazılmalıdır</t>
  </si>
  <si>
    <t>Təklif olunan məhsulun adı</t>
  </si>
  <si>
    <t>A4Tech - G7-100N-1 ( Carbon )</t>
  </si>
  <si>
    <t>DAHUA - TF-C100/256GB C100 microSD Memory Card</t>
  </si>
  <si>
    <t>VOLTAM CAT 6 FTP OUTDOOR HF Şəbəkə Kabeli 0.57 mm pure copper +1.0 HDPE +ground wire +Al foil +6.4mm PVC +PE jacket Fluke pass 500-METR</t>
  </si>
  <si>
    <t>VOLTAM CAT 6 FTP INDOOR HALOGEN FREE  Şəbəkə Kabeli 0.57 mm pure copper +1.0 HDPE +ground wire +Al foil +6.4mm PVC Fluke pass 500-METR</t>
  </si>
  <si>
    <t>DAHUA - TF-C100/64GB C100 microSD Memory Card</t>
  </si>
  <si>
    <t>TPLİNK RJ45 UTP CAT 6 PAKET (100 PCS)</t>
  </si>
  <si>
    <t>CP-393 Pro-Crimper Modular Tool (160mm)</t>
  </si>
  <si>
    <t>DATALINK CAT6 - LAN KABEL 5M ( GREY )</t>
  </si>
  <si>
    <t>DATALINK CAT6 - LAN KABEL 3M ( GREY )</t>
  </si>
  <si>
    <t>DATALINK CAT6 - LAN KABEL 10M ( BLACK )</t>
  </si>
  <si>
    <t>A4Tech - HS-19 ( Qulağcıq )</t>
  </si>
  <si>
    <t>TP-Link - LS1016G (16-Port Gigabit Desktop/Rackmount Switch)</t>
  </si>
  <si>
    <t>VOLTAM VH-09 HDMİ1.4 cable 4K 30HZ (3m)</t>
  </si>
  <si>
    <t>VOLTAM VH-31 HDMI1.4 splitter 1x8 4k 3D</t>
  </si>
  <si>
    <t>RIVACASE 7532 grey/dark blue anti-theft Laptop bag 15.6" /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</si>
</sst>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79375</xdr:colOff>
      <xdr:row>8</xdr:row>
      <xdr:rowOff>347345</xdr:rowOff>
    </xdr:from>
    <xdr:to>
      <xdr:col>10</xdr:col>
      <xdr:colOff>49072</xdr:colOff>
      <xdr:row>9</xdr:row>
      <xdr:rowOff>1421942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4E384D-FC5E-4B66-B5C4-A5AA30901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335" y="7794625"/>
          <a:ext cx="2408097" cy="2354757"/>
        </a:xfrm>
        <a:prstGeom prst="rect">
          <a:avLst/>
        </a:prstGeom>
      </xdr:spPr>
    </xdr:pic>
    <xdr:clientData/>
  </xdr:twoCellAnchor>
  <xdr:twoCellAnchor editAs="oneCell">
    <xdr:from>
      <xdr:col>6</xdr:col>
      <xdr:colOff>299960</xdr:colOff>
      <xdr:row>14</xdr:row>
      <xdr:rowOff>41180</xdr:rowOff>
    </xdr:from>
    <xdr:to>
      <xdr:col>9</xdr:col>
      <xdr:colOff>335038</xdr:colOff>
      <xdr:row>14</xdr:row>
      <xdr:rowOff>1900309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8EA4CF-D481-48F4-8B96-A23E54A6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2920" y="14437900"/>
          <a:ext cx="1863878" cy="1859129"/>
        </a:xfrm>
        <a:prstGeom prst="rect">
          <a:avLst/>
        </a:prstGeom>
      </xdr:spPr>
    </xdr:pic>
    <xdr:clientData/>
  </xdr:twoCellAnchor>
  <xdr:twoCellAnchor editAs="oneCell">
    <xdr:from>
      <xdr:col>6</xdr:col>
      <xdr:colOff>297663</xdr:colOff>
      <xdr:row>15</xdr:row>
      <xdr:rowOff>146956</xdr:rowOff>
    </xdr:from>
    <xdr:to>
      <xdr:col>10</xdr:col>
      <xdr:colOff>488466</xdr:colOff>
      <xdr:row>16</xdr:row>
      <xdr:rowOff>101236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3870FC-E76C-4002-BBE8-8FF06F2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0623" y="16575676"/>
          <a:ext cx="2629203" cy="1600200"/>
        </a:xfrm>
        <a:prstGeom prst="rect">
          <a:avLst/>
        </a:prstGeom>
      </xdr:spPr>
    </xdr:pic>
    <xdr:clientData/>
  </xdr:twoCellAnchor>
  <xdr:twoCellAnchor editAs="oneCell">
    <xdr:from>
      <xdr:col>6</xdr:col>
      <xdr:colOff>209490</xdr:colOff>
      <xdr:row>23</xdr:row>
      <xdr:rowOff>151675</xdr:rowOff>
    </xdr:from>
    <xdr:to>
      <xdr:col>9</xdr:col>
      <xdr:colOff>543168</xdr:colOff>
      <xdr:row>24</xdr:row>
      <xdr:rowOff>62140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F93678-02B7-44F9-AB13-3FF930D2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2450" y="30194795"/>
          <a:ext cx="2162478" cy="1922145"/>
        </a:xfrm>
        <a:prstGeom prst="rect">
          <a:avLst/>
        </a:prstGeom>
      </xdr:spPr>
    </xdr:pic>
    <xdr:clientData/>
  </xdr:twoCellAnchor>
  <xdr:twoCellAnchor editAs="oneCell">
    <xdr:from>
      <xdr:col>6</xdr:col>
      <xdr:colOff>13423</xdr:colOff>
      <xdr:row>20</xdr:row>
      <xdr:rowOff>131837</xdr:rowOff>
    </xdr:from>
    <xdr:to>
      <xdr:col>10</xdr:col>
      <xdr:colOff>479849</xdr:colOff>
      <xdr:row>21</xdr:row>
      <xdr:rowOff>9094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A3B9A1-042E-416A-8658-7A06CF81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6383" y="25602957"/>
          <a:ext cx="2904826" cy="1157417"/>
        </a:xfrm>
        <a:prstGeom prst="rect">
          <a:avLst/>
        </a:prstGeom>
      </xdr:spPr>
    </xdr:pic>
    <xdr:clientData/>
  </xdr:twoCellAnchor>
  <xdr:twoCellAnchor editAs="oneCell">
    <xdr:from>
      <xdr:col>6</xdr:col>
      <xdr:colOff>277612</xdr:colOff>
      <xdr:row>28</xdr:row>
      <xdr:rowOff>135978</xdr:rowOff>
    </xdr:from>
    <xdr:to>
      <xdr:col>10</xdr:col>
      <xdr:colOff>113334</xdr:colOff>
      <xdr:row>29</xdr:row>
      <xdr:rowOff>3055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DFCBD1-6279-43A5-9A25-6A7C0F61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0572" y="40237498"/>
          <a:ext cx="2274122" cy="1279317"/>
        </a:xfrm>
        <a:prstGeom prst="rect">
          <a:avLst/>
        </a:prstGeom>
      </xdr:spPr>
    </xdr:pic>
    <xdr:clientData/>
  </xdr:twoCellAnchor>
  <xdr:twoCellAnchor editAs="oneCell">
    <xdr:from>
      <xdr:col>6</xdr:col>
      <xdr:colOff>101758</xdr:colOff>
      <xdr:row>29</xdr:row>
      <xdr:rowOff>162859</xdr:rowOff>
    </xdr:from>
    <xdr:to>
      <xdr:col>9</xdr:col>
      <xdr:colOff>79389</xdr:colOff>
      <xdr:row>30</xdr:row>
      <xdr:rowOff>26511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9BEC74-AE9E-44A5-A44A-B70E9548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4718" y="41676619"/>
          <a:ext cx="1806431" cy="950772"/>
        </a:xfrm>
        <a:prstGeom prst="rect">
          <a:avLst/>
        </a:prstGeom>
      </xdr:spPr>
    </xdr:pic>
    <xdr:clientData/>
  </xdr:twoCellAnchor>
  <xdr:twoCellAnchor editAs="oneCell">
    <xdr:from>
      <xdr:col>6</xdr:col>
      <xdr:colOff>482600</xdr:colOff>
      <xdr:row>31</xdr:row>
      <xdr:rowOff>2171700</xdr:rowOff>
    </xdr:from>
    <xdr:to>
      <xdr:col>8</xdr:col>
      <xdr:colOff>534141</xdr:colOff>
      <xdr:row>33</xdr:row>
      <xdr:rowOff>107421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4C568D2-642E-42C2-B920-A2393F48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5560" y="46784260"/>
          <a:ext cx="1270741" cy="1247881"/>
        </a:xfrm>
        <a:prstGeom prst="rect">
          <a:avLst/>
        </a:prstGeom>
      </xdr:spPr>
    </xdr:pic>
    <xdr:clientData/>
  </xdr:twoCellAnchor>
  <xdr:twoCellAnchor editAs="oneCell">
    <xdr:from>
      <xdr:col>6</xdr:col>
      <xdr:colOff>73660</xdr:colOff>
      <xdr:row>17</xdr:row>
      <xdr:rowOff>1137920</xdr:rowOff>
    </xdr:from>
    <xdr:to>
      <xdr:col>10</xdr:col>
      <xdr:colOff>403860</xdr:colOff>
      <xdr:row>19</xdr:row>
      <xdr:rowOff>96520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83CEA1-1724-4582-B99D-8D1173D77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6620" y="20858480"/>
          <a:ext cx="2768600" cy="2433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33" zoomScale="80" zoomScaleNormal="80" workbookViewId="0">
      <selection activeCell="E18" sqref="E18"/>
    </sheetView>
  </sheetViews>
  <sheetFormatPr defaultRowHeight="15" x14ac:dyDescent="0.25"/>
  <cols>
    <col min="1" max="1" width="68.5703125" customWidth="1"/>
    <col min="2" max="2" width="12.140625" style="1" customWidth="1"/>
    <col min="3" max="3" width="17.5703125" customWidth="1"/>
    <col min="4" max="4" width="27.42578125" customWidth="1"/>
    <col min="5" max="6" width="34.28515625" customWidth="1"/>
  </cols>
  <sheetData>
    <row r="1" spans="1:6" ht="54.6" customHeight="1" x14ac:dyDescent="0.25">
      <c r="A1" s="10"/>
      <c r="B1" s="11"/>
      <c r="C1" s="11"/>
      <c r="D1" s="11"/>
      <c r="E1" s="12"/>
      <c r="F1" s="13"/>
    </row>
    <row r="2" spans="1:6" ht="42.6" customHeight="1" x14ac:dyDescent="0.25">
      <c r="A2" s="5" t="s">
        <v>0</v>
      </c>
      <c r="B2" s="6" t="s">
        <v>1</v>
      </c>
      <c r="C2" s="6" t="s">
        <v>3</v>
      </c>
      <c r="D2" s="7" t="s">
        <v>40</v>
      </c>
      <c r="E2" s="7" t="s">
        <v>41</v>
      </c>
      <c r="F2" s="14" t="s">
        <v>43</v>
      </c>
    </row>
    <row r="3" spans="1:6" ht="90" x14ac:dyDescent="0.25">
      <c r="A3" s="2" t="s">
        <v>5</v>
      </c>
      <c r="B3" s="2">
        <v>20</v>
      </c>
      <c r="C3" s="2" t="s">
        <v>2</v>
      </c>
      <c r="D3" s="4"/>
      <c r="E3" s="4"/>
      <c r="F3" s="4"/>
    </row>
    <row r="4" spans="1:6" ht="105" x14ac:dyDescent="0.25">
      <c r="A4" s="2" t="s">
        <v>6</v>
      </c>
      <c r="B4" s="2">
        <v>10</v>
      </c>
      <c r="C4" s="2" t="s">
        <v>2</v>
      </c>
      <c r="D4" s="4">
        <v>13</v>
      </c>
      <c r="E4" s="4">
        <f>D4*B4</f>
        <v>130</v>
      </c>
      <c r="F4" s="4" t="s">
        <v>44</v>
      </c>
    </row>
    <row r="5" spans="1:6" ht="90" x14ac:dyDescent="0.25">
      <c r="A5" s="2" t="s">
        <v>7</v>
      </c>
      <c r="B5" s="2">
        <v>10</v>
      </c>
      <c r="C5" s="2" t="s">
        <v>2</v>
      </c>
      <c r="D5" s="4"/>
      <c r="E5" s="4"/>
      <c r="F5" s="4"/>
    </row>
    <row r="6" spans="1:6" ht="75" x14ac:dyDescent="0.25">
      <c r="A6" s="2" t="s">
        <v>20</v>
      </c>
      <c r="B6" s="2">
        <v>10</v>
      </c>
      <c r="C6" s="2" t="s">
        <v>2</v>
      </c>
      <c r="D6" s="4"/>
      <c r="E6" s="4"/>
      <c r="F6" s="4"/>
    </row>
    <row r="7" spans="1:6" ht="90" x14ac:dyDescent="0.25">
      <c r="A7" s="2" t="s">
        <v>8</v>
      </c>
      <c r="B7" s="2">
        <v>10</v>
      </c>
      <c r="C7" s="2" t="s">
        <v>2</v>
      </c>
      <c r="D7" s="4"/>
      <c r="E7" s="4"/>
      <c r="F7" s="4"/>
    </row>
    <row r="8" spans="1:6" ht="60" x14ac:dyDescent="0.25">
      <c r="A8" s="2" t="s">
        <v>4</v>
      </c>
      <c r="B8" s="2">
        <v>6</v>
      </c>
      <c r="C8" s="2" t="s">
        <v>2</v>
      </c>
      <c r="D8" s="4">
        <v>54.12</v>
      </c>
      <c r="E8" s="4">
        <f>D8*B8</f>
        <v>324.71999999999997</v>
      </c>
      <c r="F8" s="9" t="s">
        <v>45</v>
      </c>
    </row>
    <row r="9" spans="1:6" ht="105" x14ac:dyDescent="0.25">
      <c r="A9" s="2" t="s">
        <v>9</v>
      </c>
      <c r="B9" s="2">
        <v>1</v>
      </c>
      <c r="C9" s="2" t="s">
        <v>22</v>
      </c>
      <c r="D9" s="4">
        <v>1.19</v>
      </c>
      <c r="E9" s="4">
        <f>D9*B9</f>
        <v>1.19</v>
      </c>
      <c r="F9" s="9" t="s">
        <v>46</v>
      </c>
    </row>
    <row r="10" spans="1:6" ht="120" x14ac:dyDescent="0.25">
      <c r="A10" s="2" t="s">
        <v>38</v>
      </c>
      <c r="B10" s="2">
        <v>2</v>
      </c>
      <c r="C10" s="2" t="s">
        <v>22</v>
      </c>
      <c r="D10" s="4">
        <v>0.85</v>
      </c>
      <c r="E10" s="4">
        <f>D10*B10</f>
        <v>1.7</v>
      </c>
      <c r="F10" s="9" t="s">
        <v>47</v>
      </c>
    </row>
    <row r="11" spans="1:6" ht="120" x14ac:dyDescent="0.25">
      <c r="A11" s="2" t="s">
        <v>39</v>
      </c>
      <c r="B11" s="2">
        <v>2</v>
      </c>
      <c r="C11" s="2" t="s">
        <v>22</v>
      </c>
      <c r="D11" s="4"/>
      <c r="E11" s="4"/>
      <c r="F11" s="4"/>
    </row>
    <row r="12" spans="1:6" ht="75" x14ac:dyDescent="0.25">
      <c r="A12" s="2" t="s">
        <v>14</v>
      </c>
      <c r="B12" s="2">
        <v>5</v>
      </c>
      <c r="C12" s="2" t="s">
        <v>2</v>
      </c>
      <c r="D12" s="4">
        <v>11.85</v>
      </c>
      <c r="E12" s="4">
        <f>D12*B12</f>
        <v>59.25</v>
      </c>
      <c r="F12" s="9" t="s">
        <v>48</v>
      </c>
    </row>
    <row r="13" spans="1:6" ht="75" x14ac:dyDescent="0.25">
      <c r="A13" s="2" t="s">
        <v>13</v>
      </c>
      <c r="B13" s="2">
        <v>3</v>
      </c>
      <c r="C13" s="2" t="s">
        <v>2</v>
      </c>
      <c r="D13" s="4"/>
      <c r="E13" s="4"/>
      <c r="F13" s="4"/>
    </row>
    <row r="14" spans="1:6" ht="75" x14ac:dyDescent="0.25">
      <c r="A14" s="2" t="s">
        <v>12</v>
      </c>
      <c r="B14" s="2">
        <v>2</v>
      </c>
      <c r="C14" s="2" t="s">
        <v>16</v>
      </c>
      <c r="D14" s="4">
        <v>0.12</v>
      </c>
      <c r="E14" s="4">
        <f>D14*200</f>
        <v>24</v>
      </c>
      <c r="F14" s="9" t="s">
        <v>49</v>
      </c>
    </row>
    <row r="15" spans="1:6" ht="160.5" customHeight="1" x14ac:dyDescent="0.25">
      <c r="A15" s="2" t="s">
        <v>11</v>
      </c>
      <c r="B15" s="2">
        <v>1</v>
      </c>
      <c r="C15" s="2" t="s">
        <v>2</v>
      </c>
      <c r="D15" s="4">
        <v>15.62</v>
      </c>
      <c r="E15" s="4">
        <f>D15*B15</f>
        <v>15.62</v>
      </c>
      <c r="F15" s="9" t="s">
        <v>50</v>
      </c>
    </row>
    <row r="16" spans="1:6" ht="150" x14ac:dyDescent="0.25">
      <c r="A16" s="2" t="s">
        <v>17</v>
      </c>
      <c r="B16" s="2">
        <v>20</v>
      </c>
      <c r="C16" s="2" t="s">
        <v>2</v>
      </c>
      <c r="D16" s="4">
        <v>3.24</v>
      </c>
      <c r="E16" s="4">
        <f>D16*B16</f>
        <v>64.800000000000011</v>
      </c>
      <c r="F16" s="9" t="s">
        <v>52</v>
      </c>
    </row>
    <row r="17" spans="1:6" ht="150" x14ac:dyDescent="0.25">
      <c r="A17" s="2" t="s">
        <v>18</v>
      </c>
      <c r="B17" s="2">
        <v>10</v>
      </c>
      <c r="C17" s="2" t="s">
        <v>2</v>
      </c>
      <c r="D17" s="4">
        <v>3.9</v>
      </c>
      <c r="E17" s="4">
        <f>D17*B17</f>
        <v>39</v>
      </c>
      <c r="F17" s="9" t="s">
        <v>51</v>
      </c>
    </row>
    <row r="18" spans="1:6" ht="150" x14ac:dyDescent="0.25">
      <c r="A18" s="2" t="s">
        <v>19</v>
      </c>
      <c r="B18" s="2">
        <v>10</v>
      </c>
      <c r="C18" s="2" t="s">
        <v>2</v>
      </c>
      <c r="D18" s="4">
        <v>6.81</v>
      </c>
      <c r="E18" s="4">
        <f>D18*B18</f>
        <v>68.099999999999994</v>
      </c>
      <c r="F18" s="9" t="s">
        <v>53</v>
      </c>
    </row>
    <row r="19" spans="1:6" ht="150" x14ac:dyDescent="0.25">
      <c r="A19" s="2" t="s">
        <v>37</v>
      </c>
      <c r="B19" s="2">
        <v>1</v>
      </c>
      <c r="C19" s="2" t="s">
        <v>2</v>
      </c>
      <c r="D19" s="4"/>
      <c r="E19" s="4"/>
      <c r="F19" s="4"/>
    </row>
    <row r="20" spans="1:6" ht="179.25" customHeight="1" x14ac:dyDescent="0.25">
      <c r="A20" s="2" t="s">
        <v>36</v>
      </c>
      <c r="B20" s="2">
        <v>2</v>
      </c>
      <c r="C20" s="2" t="s">
        <v>2</v>
      </c>
      <c r="D20" s="4">
        <v>11</v>
      </c>
      <c r="E20" s="4">
        <f>D20*B20</f>
        <v>22</v>
      </c>
      <c r="F20" s="4" t="s">
        <v>54</v>
      </c>
    </row>
    <row r="21" spans="1:6" ht="105" x14ac:dyDescent="0.25">
      <c r="A21" s="2" t="s">
        <v>26</v>
      </c>
      <c r="B21" s="2">
        <v>2</v>
      </c>
      <c r="C21" s="2" t="s">
        <v>2</v>
      </c>
      <c r="D21" s="4">
        <v>100</v>
      </c>
      <c r="E21" s="4">
        <f>D21*B21</f>
        <v>200</v>
      </c>
      <c r="F21" s="9" t="s">
        <v>55</v>
      </c>
    </row>
    <row r="22" spans="1:6" ht="150" x14ac:dyDescent="0.25">
      <c r="A22" s="2" t="s">
        <v>10</v>
      </c>
      <c r="B22" s="2">
        <v>10</v>
      </c>
      <c r="C22" s="2" t="s">
        <v>2</v>
      </c>
      <c r="D22" s="4">
        <v>7</v>
      </c>
      <c r="E22" s="4">
        <f>D22*B22</f>
        <v>70</v>
      </c>
      <c r="F22" s="9" t="s">
        <v>56</v>
      </c>
    </row>
    <row r="23" spans="1:6" ht="150" x14ac:dyDescent="0.25">
      <c r="A23" s="2" t="s">
        <v>15</v>
      </c>
      <c r="B23" s="2">
        <v>10</v>
      </c>
      <c r="C23" s="2" t="s">
        <v>2</v>
      </c>
      <c r="D23" s="4">
        <v>7</v>
      </c>
      <c r="E23" s="4">
        <f>D23*B23</f>
        <v>70</v>
      </c>
      <c r="F23" s="9" t="s">
        <v>56</v>
      </c>
    </row>
    <row r="24" spans="1:6" ht="180" x14ac:dyDescent="0.25">
      <c r="A24" s="2" t="s">
        <v>27</v>
      </c>
      <c r="B24" s="2">
        <v>5</v>
      </c>
      <c r="C24" s="2" t="s">
        <v>2</v>
      </c>
      <c r="D24" s="4"/>
      <c r="E24" s="4"/>
      <c r="F24" s="4"/>
    </row>
    <row r="25" spans="1:6" ht="180" x14ac:dyDescent="0.25">
      <c r="A25" s="2" t="s">
        <v>28</v>
      </c>
      <c r="B25" s="2">
        <v>5</v>
      </c>
      <c r="C25" s="2" t="s">
        <v>2</v>
      </c>
      <c r="D25" s="4"/>
      <c r="E25" s="4"/>
      <c r="F25" s="4"/>
    </row>
    <row r="26" spans="1:6" ht="135" x14ac:dyDescent="0.25">
      <c r="A26" s="2" t="s">
        <v>23</v>
      </c>
      <c r="B26" s="2">
        <v>5</v>
      </c>
      <c r="C26" s="2" t="s">
        <v>2</v>
      </c>
      <c r="D26" s="4">
        <v>38.01</v>
      </c>
      <c r="E26" s="4">
        <f>D26*B26</f>
        <v>190.04999999999998</v>
      </c>
      <c r="F26" s="9" t="s">
        <v>57</v>
      </c>
    </row>
    <row r="27" spans="1:6" ht="180" x14ac:dyDescent="0.25">
      <c r="A27" s="2" t="s">
        <v>29</v>
      </c>
      <c r="B27" s="2">
        <v>5</v>
      </c>
      <c r="C27" s="2" t="s">
        <v>2</v>
      </c>
      <c r="D27" s="4"/>
      <c r="E27" s="4"/>
      <c r="F27" s="4"/>
    </row>
    <row r="28" spans="1:6" ht="180" x14ac:dyDescent="0.25">
      <c r="A28" s="2" t="s">
        <v>25</v>
      </c>
      <c r="B28" s="2">
        <v>8</v>
      </c>
      <c r="C28" s="2" t="s">
        <v>2</v>
      </c>
      <c r="D28" s="4"/>
      <c r="E28" s="4"/>
      <c r="F28" s="4"/>
    </row>
    <row r="29" spans="1:6" ht="111" customHeight="1" x14ac:dyDescent="0.25">
      <c r="A29" s="2" t="s">
        <v>33</v>
      </c>
      <c r="B29" s="2">
        <v>150</v>
      </c>
      <c r="C29" s="2" t="s">
        <v>30</v>
      </c>
      <c r="D29" s="4"/>
      <c r="E29" s="4"/>
      <c r="F29" s="4"/>
    </row>
    <row r="30" spans="1:6" ht="86.25" customHeight="1" x14ac:dyDescent="0.25">
      <c r="A30" s="2" t="s">
        <v>32</v>
      </c>
      <c r="B30" s="2">
        <v>8</v>
      </c>
      <c r="C30" s="2" t="s">
        <v>2</v>
      </c>
      <c r="D30" s="4"/>
      <c r="E30" s="4"/>
      <c r="F30" s="4"/>
    </row>
    <row r="31" spans="1:6" ht="180" x14ac:dyDescent="0.25">
      <c r="A31" s="2" t="s">
        <v>31</v>
      </c>
      <c r="B31" s="2">
        <v>8</v>
      </c>
      <c r="C31" s="2" t="s">
        <v>2</v>
      </c>
      <c r="D31" s="4"/>
      <c r="E31" s="4"/>
      <c r="F31" s="4"/>
    </row>
    <row r="32" spans="1:6" ht="180" x14ac:dyDescent="0.25">
      <c r="A32" s="2" t="s">
        <v>24</v>
      </c>
      <c r="B32" s="2">
        <v>2</v>
      </c>
      <c r="C32" s="2" t="s">
        <v>2</v>
      </c>
      <c r="D32" s="4"/>
      <c r="E32" s="4"/>
      <c r="F32" s="4"/>
    </row>
    <row r="33" spans="1:6" ht="87.75" customHeight="1" x14ac:dyDescent="0.25">
      <c r="A33" s="2" t="s">
        <v>21</v>
      </c>
      <c r="B33" s="2">
        <v>15</v>
      </c>
      <c r="C33" s="2" t="s">
        <v>2</v>
      </c>
      <c r="D33" s="4"/>
      <c r="E33" s="4"/>
      <c r="F33" s="4"/>
    </row>
    <row r="34" spans="1:6" ht="75" x14ac:dyDescent="0.25">
      <c r="A34" s="2" t="s">
        <v>34</v>
      </c>
      <c r="B34" s="3">
        <v>20</v>
      </c>
      <c r="C34" s="2" t="s">
        <v>2</v>
      </c>
      <c r="D34" s="4">
        <v>42.58</v>
      </c>
      <c r="E34" s="4">
        <f>D34*B34</f>
        <v>851.59999999999991</v>
      </c>
      <c r="F34" s="9" t="s">
        <v>58</v>
      </c>
    </row>
    <row r="35" spans="1:6" ht="60" x14ac:dyDescent="0.25">
      <c r="A35" s="2" t="s">
        <v>35</v>
      </c>
      <c r="B35" s="3">
        <v>5</v>
      </c>
      <c r="C35" s="2" t="s">
        <v>2</v>
      </c>
      <c r="D35" s="4"/>
      <c r="E35" s="4"/>
      <c r="F35" s="4"/>
    </row>
    <row r="36" spans="1:6" ht="30.6" customHeight="1" x14ac:dyDescent="0.25">
      <c r="A36" s="4"/>
      <c r="B36" s="9"/>
      <c r="C36" s="4"/>
      <c r="D36" s="8" t="s">
        <v>42</v>
      </c>
      <c r="E36" s="8" t="s">
        <v>42</v>
      </c>
      <c r="F36" s="4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Satınalma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Novruzov Vüqar</dc:creator>
  <cp:lastModifiedBy>Gulbadam Tamrazova</cp:lastModifiedBy>
  <dcterms:created xsi:type="dcterms:W3CDTF">2015-06-05T18:17:20Z</dcterms:created>
  <dcterms:modified xsi:type="dcterms:W3CDTF">2026-03-06T07:42:29Z</dcterms:modified>
</cp:coreProperties>
</file>