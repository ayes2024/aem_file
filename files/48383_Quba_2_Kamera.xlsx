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lbadam.tamrazova\Downloads\"/>
    </mc:Choice>
  </mc:AlternateContent>
  <xr:revisionPtr revIDLastSave="0" documentId="8_{A6BAAD74-5BCE-47CC-B2C5-3C6642A89D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bitə və Yanğın siqn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1" i="1"/>
  <c r="J10" i="1"/>
  <c r="J9" i="1"/>
  <c r="J8" i="1"/>
  <c r="J7" i="1"/>
  <c r="K9" i="1" l="1"/>
  <c r="K17" i="1"/>
  <c r="K16" i="1"/>
  <c r="K24" i="1"/>
  <c r="K25" i="1"/>
  <c r="K23" i="1"/>
  <c r="K10" i="1"/>
  <c r="K27" i="1"/>
  <c r="K31" i="1"/>
  <c r="K32" i="1"/>
  <c r="K19" i="1"/>
  <c r="K13" i="1"/>
  <c r="K28" i="1"/>
  <c r="K34" i="1"/>
  <c r="K15" i="1"/>
  <c r="K30" i="1"/>
  <c r="K11" i="1"/>
  <c r="K12" i="1"/>
  <c r="K14" i="1"/>
  <c r="K21" i="1"/>
  <c r="K7" i="1"/>
  <c r="K26" i="1"/>
  <c r="K22" i="1"/>
  <c r="K33" i="1"/>
  <c r="K29" i="1"/>
  <c r="K20" i="1"/>
  <c r="K18" i="1"/>
  <c r="K8" i="1"/>
  <c r="H35" i="1"/>
  <c r="J35" i="1"/>
  <c r="L7" i="1" l="1"/>
  <c r="L8" i="1" s="1"/>
  <c r="L9" i="1" s="1"/>
  <c r="K35" i="1"/>
  <c r="L10" i="1" l="1"/>
  <c r="L11" i="1" s="1"/>
  <c r="L12" i="1" s="1"/>
  <c r="K36" i="1"/>
  <c r="K37" i="1" s="1"/>
  <c r="L19" i="1" l="1"/>
  <c r="L20" i="1" s="1"/>
  <c r="L21" i="1" s="1"/>
  <c r="L22" i="1" s="1"/>
  <c r="L23" i="1" s="1"/>
  <c r="L24" i="1" s="1"/>
  <c r="L25" i="1" s="1"/>
  <c r="L26" i="1" s="1"/>
  <c r="L27" i="1" s="1"/>
  <c r="N8" i="1" s="1"/>
  <c r="L18" i="1"/>
  <c r="L13" i="1"/>
  <c r="L14" i="1" s="1"/>
  <c r="L15" i="1" s="1"/>
  <c r="L16" i="1" l="1"/>
  <c r="L17" i="1" s="1"/>
  <c r="L28" i="1"/>
  <c r="L29" i="1" s="1"/>
  <c r="L30" i="1" s="1"/>
  <c r="L31" i="1" s="1"/>
  <c r="L32" i="1" s="1"/>
  <c r="L33" i="1" s="1"/>
  <c r="L34" i="1" s="1"/>
</calcChain>
</file>

<file path=xl/sharedStrings.xml><?xml version="1.0" encoding="utf-8"?>
<sst xmlns="http://schemas.openxmlformats.org/spreadsheetml/2006/main" count="125" uniqueCount="73">
  <si>
    <t>Sifarişçi:........</t>
  </si>
  <si>
    <t xml:space="preserve">    Podaraci:ZAL GROUP MMC </t>
  </si>
  <si>
    <t xml:space="preserve">İşin adı:  </t>
  </si>
  <si>
    <t>Tarix:</t>
  </si>
  <si>
    <t>08,03,2026</t>
  </si>
  <si>
    <t>Sıra
№</t>
  </si>
  <si>
    <t>Görüləcək işlərin adı</t>
  </si>
  <si>
    <t>İşin görülmə şərti</t>
  </si>
  <si>
    <t>Ölçü vahidi</t>
  </si>
  <si>
    <t>Miqdar</t>
  </si>
  <si>
    <t>Material</t>
  </si>
  <si>
    <t>İşçilik</t>
  </si>
  <si>
    <t>Dəyərlər (AzN)</t>
  </si>
  <si>
    <t>Vahid qiymət</t>
  </si>
  <si>
    <t>Dəyəri</t>
  </si>
  <si>
    <t>Cəmi</t>
  </si>
  <si>
    <t>Sıralar üzrə
cəmi</t>
  </si>
  <si>
    <t>Mat.+İşç.</t>
  </si>
  <si>
    <t>əd</t>
  </si>
  <si>
    <t>m</t>
  </si>
  <si>
    <t xml:space="preserve">    Cəmi: inşaat + mexanik + elektrik  işlər:</t>
  </si>
  <si>
    <t xml:space="preserve">   ƏDV</t>
  </si>
  <si>
    <t>18%</t>
  </si>
  <si>
    <t xml:space="preserve">   Cəmi: inşaat + mexanik + elektrik işləri  - ƏDV ilə</t>
  </si>
  <si>
    <t xml:space="preserve">Qeyd </t>
  </si>
  <si>
    <t>Quba rayonu, Xinalıq kənd yolunun 10km-lik yolunda "Şah Əsəri Resort" istirahət kompleksinin ərazisində abadlaşdırma işləri:Yanğın siqnalızasiya sistemi: F-0084/1-VM</t>
  </si>
  <si>
    <t>Komutator 16 port POE:  16P, PoE</t>
  </si>
  <si>
    <t>Videoqeydiyyat cihazı NVR: 16 kanal, İP</t>
  </si>
  <si>
    <t>Patch panel : 16 Port, graunded</t>
  </si>
  <si>
    <t>HDD:  6TB</t>
  </si>
  <si>
    <t>Patch cord Lan;   1mt</t>
  </si>
  <si>
    <t>PDU:  4-lü</t>
  </si>
  <si>
    <t>UPS  ; 1500VA</t>
  </si>
  <si>
    <t>Konnektor ; RJ-45</t>
  </si>
  <si>
    <t>Birləşmə qutusu; 10x20</t>
  </si>
  <si>
    <t>Kabel ;  UTP CAT6</t>
  </si>
  <si>
    <t xml:space="preserve">Optik panel </t>
  </si>
  <si>
    <t>Patch panel CAT 6, 16 port</t>
  </si>
  <si>
    <t>Switch 16 portlu</t>
  </si>
  <si>
    <t>Mini - ATS IP</t>
  </si>
  <si>
    <t>Floor box (303 mmx221mmx90mm)</t>
  </si>
  <si>
    <t>Patch Cord Lan;   0,5mt</t>
  </si>
  <si>
    <t xml:space="preserve">Rəf </t>
  </si>
  <si>
    <t>Kabel: FO-8</t>
  </si>
  <si>
    <t>Telekomnukasiya şkafı:  19"26U</t>
  </si>
  <si>
    <t>Quba rayonu, Xinalıq kənd yolunun 10km-lik yolunda "Şah Əsəri Resort" istirahət kompleksinin ərazisində abadlaşdırma işləri:Rabitə  sistemi: F-0084/1-RS</t>
  </si>
  <si>
    <t>Kabel borusu qofr;  Ø 20mm yanmaz</t>
  </si>
  <si>
    <t xml:space="preserve">Rozetka (yer içi qutu, support və üz qabığı)  :RJ-45 kvadrat </t>
  </si>
  <si>
    <t>Rozetka (divar içi qutu, support və üz qabığı) :RJ-45 kvadrat</t>
  </si>
  <si>
    <t>Router Modem 16 port</t>
  </si>
  <si>
    <t>Access point tavan tipli</t>
  </si>
  <si>
    <t>Videokamera (Xarici) 2mp İR:  2MP,İR,İP (həm rəngli və səsli,həm sadə kamera üçün qiymət)</t>
  </si>
  <si>
    <t>Videokamera (Daxili) 2mp İR:   2MP,İR,İP  (həm rəngli və səsli,həm sadə kamera üçün qiymət)</t>
  </si>
  <si>
    <t>Məhsulun adı</t>
  </si>
  <si>
    <t>LINKBASIC - PND24-UC6 - 24 порт CAT6 UTP патч-панель</t>
  </si>
  <si>
    <t>HIKVISION - DS60HKVS-VX1 (6TB/5400RPM)</t>
  </si>
  <si>
    <t>DATALINK CAT6 - LAN KABEL 1M ( BLACK )</t>
  </si>
  <si>
    <t>VOLTAM PD-01 6 way EU type PDU</t>
  </si>
  <si>
    <t>VOLTAM VA-15 1500VA/900W Line Interactive UPS</t>
  </si>
  <si>
    <t>TPLİNK RJ45 UTP CAT 6 PAKET (100 PCS)</t>
  </si>
  <si>
    <t>VOLTAM CAT 6 FTP INDOOR HALOGEN FREE  Şəbəkə Kabeli 0.57 mm pure copper +1.0 HDPE +ground wire +Al foil +6.4mm PVC Fluke pass 500-METR</t>
  </si>
  <si>
    <t>VOLTAM - VR-6027 - Rack Cabin 27U 600x1000 mm (4 x fans with plug 1 x shelf 2 x handle lock 1 x L Wrench, 1 x set key 4 x casters, 4 x feet 30 x screw</t>
  </si>
  <si>
    <t>PATCH PANEL PP-03 19 Inch 1u 24 port Cat6 Utp patch panel with 1*back shelf, 110IDC</t>
  </si>
  <si>
    <t>TP-Link - TL-SF1016 ( 16-портовый 10/100 Мбит/с коммутатор )</t>
  </si>
  <si>
    <t>LINKBASIC OUD21 - 1-LI RJ45 DIVAR ICI RAZETKA</t>
  </si>
  <si>
    <t>DATALINK CAT6 - LAN KABEL 0,5M ( BLACK )</t>
  </si>
  <si>
    <t>TP-Link - TL-SF1016D ( 16-портовый 10/100 Мбит/с коммутатор )</t>
  </si>
  <si>
    <t>TP-Link - EAP660 HD (AX3600 Wi-Fi 6 Dual-Band Multi-Gigabit Ceiling Mount Access Point)</t>
  </si>
  <si>
    <t>VOLTAM VF-121 GYXTC8Y FO-8 Central Loose Tube Selt-Supporting Aerial Cables 8 cores</t>
  </si>
  <si>
    <t>HIKVISION - DS-2CD2123G2-LIS2U (2.8mm) 2 MP IR30m/LED30m Acusense Smart Hybrid Light Fixed Dome Network Camera</t>
  </si>
  <si>
    <t>HIKVISION - DS-2CD1023G2-LIUF (2.8mm) 2MP Smart Hybrid Light Fixed Bullet Network Camera</t>
  </si>
  <si>
    <t>HIKVISION - DS-3E1518P-EI/M (16 Port Gigabit Smart POE Switch/150 W)</t>
  </si>
  <si>
    <t>HIKVISION - DS-7616NXI-K1 (16-ch/1 HDD) 1U K Series AcuSense 4K NVR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</si>
</sst>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0&quot; AZN&quot;"/>
  </numFmts>
  <fonts count="29">
    <font>
      <sz val="11"/>
      <color theme="1"/>
      <name val="Aptos Narrow"/>
      <family val="2"/>
      <scheme val="minor"/>
    </font>
    <font>
      <sz val="30"/>
      <name val="Antique Olive"/>
      <family val="2"/>
      <charset val="162"/>
    </font>
    <font>
      <b/>
      <sz val="14"/>
      <name val="Arial Narrow"/>
      <family val="2"/>
      <charset val="204"/>
    </font>
    <font>
      <b/>
      <sz val="10"/>
      <name val="Arial"/>
      <family val="2"/>
      <charset val="162"/>
    </font>
    <font>
      <sz val="11"/>
      <name val="Arial Narrow"/>
      <family val="2"/>
      <charset val="204"/>
    </font>
    <font>
      <sz val="9"/>
      <name val="Arial"/>
      <family val="2"/>
      <charset val="162"/>
    </font>
    <font>
      <sz val="9"/>
      <name val="Arial Black"/>
      <family val="2"/>
      <charset val="162"/>
    </font>
    <font>
      <sz val="10"/>
      <name val="Arial Tur"/>
      <charset val="162"/>
    </font>
    <font>
      <sz val="10"/>
      <name val="Arial"/>
      <family val="2"/>
      <charset val="162"/>
    </font>
    <font>
      <sz val="10"/>
      <name val="Arial Cyr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162"/>
    </font>
    <font>
      <sz val="10"/>
      <color theme="1" tint="0.34998626667073579"/>
      <name val="Arial"/>
      <family val="2"/>
      <charset val="162"/>
    </font>
    <font>
      <b/>
      <i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  <charset val="162"/>
    </font>
    <font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2"/>
      <name val="Arial"/>
      <family val="2"/>
      <charset val="162"/>
    </font>
    <font>
      <b/>
      <sz val="15"/>
      <name val="Times New Roman"/>
      <family val="1"/>
    </font>
    <font>
      <sz val="15"/>
      <name val="Times New Roman"/>
      <family val="1"/>
    </font>
    <font>
      <sz val="10"/>
      <name val="Arial"/>
      <family val="2"/>
      <charset val="204"/>
    </font>
    <font>
      <sz val="10"/>
      <color indexed="52"/>
      <name val="Arial"/>
      <family val="2"/>
      <charset val="162"/>
    </font>
    <font>
      <sz val="12"/>
      <color indexed="52"/>
      <name val="Arial"/>
      <family val="2"/>
      <charset val="162"/>
    </font>
    <font>
      <sz val="14"/>
      <name val="Times New Roman"/>
      <family val="1"/>
    </font>
    <font>
      <b/>
      <sz val="14"/>
      <color rgb="FFFF0000"/>
      <name val="Arial"/>
      <family val="2"/>
      <charset val="162"/>
    </font>
    <font>
      <sz val="14"/>
      <color indexed="5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9AF0B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10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5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4" fontId="3" fillId="0" borderId="0" xfId="0" applyNumberFormat="1" applyFont="1" applyAlignment="1">
      <alignment horizontal="left" vertical="center"/>
    </xf>
    <xf numFmtId="164" fontId="10" fillId="0" borderId="6" xfId="2" applyNumberFormat="1" applyFont="1" applyBorder="1" applyAlignment="1">
      <alignment horizontal="center" vertical="center" wrapText="1"/>
    </xf>
    <xf numFmtId="164" fontId="10" fillId="0" borderId="7" xfId="2" applyNumberFormat="1" applyFont="1" applyBorder="1" applyAlignment="1">
      <alignment horizontal="center" vertical="center" wrapText="1"/>
    </xf>
    <xf numFmtId="1" fontId="10" fillId="0" borderId="7" xfId="2" applyNumberFormat="1" applyFont="1" applyBorder="1" applyAlignment="1">
      <alignment horizontal="center" vertical="center" wrapText="1"/>
    </xf>
    <xf numFmtId="1" fontId="10" fillId="0" borderId="8" xfId="2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164" fontId="10" fillId="0" borderId="13" xfId="2" applyNumberFormat="1" applyFont="1" applyBorder="1" applyAlignment="1">
      <alignment horizontal="center" vertical="center" wrapText="1"/>
    </xf>
    <xf numFmtId="1" fontId="10" fillId="0" borderId="14" xfId="2" applyNumberFormat="1" applyFont="1" applyBorder="1" applyAlignment="1">
      <alignment horizontal="center" vertical="center" wrapText="1"/>
    </xf>
    <xf numFmtId="164" fontId="10" fillId="0" borderId="14" xfId="2" applyNumberFormat="1" applyFont="1" applyBorder="1" applyAlignment="1">
      <alignment horizontal="center" vertical="center" wrapText="1"/>
    </xf>
    <xf numFmtId="1" fontId="10" fillId="0" borderId="15" xfId="2" applyNumberFormat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2" fillId="0" borderId="16" xfId="1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1" fontId="12" fillId="0" borderId="16" xfId="2" applyNumberFormat="1" applyFont="1" applyBorder="1" applyAlignment="1">
      <alignment horizontal="center" vertical="center" wrapText="1"/>
    </xf>
    <xf numFmtId="1" fontId="12" fillId="0" borderId="17" xfId="2" applyNumberFormat="1" applyFont="1" applyBorder="1" applyAlignment="1">
      <alignment horizontal="center" vertical="center" wrapText="1"/>
    </xf>
    <xf numFmtId="1" fontId="12" fillId="0" borderId="18" xfId="2" applyNumberFormat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8" fillId="0" borderId="0" xfId="1" applyFont="1" applyAlignment="1">
      <alignment vertical="center" wrapText="1"/>
    </xf>
    <xf numFmtId="165" fontId="5" fillId="3" borderId="14" xfId="2" applyNumberFormat="1" applyFont="1" applyFill="1" applyBorder="1" applyAlignment="1">
      <alignment horizontal="right" vertical="center" wrapText="1"/>
    </xf>
    <xf numFmtId="165" fontId="15" fillId="3" borderId="14" xfId="2" applyNumberFormat="1" applyFont="1" applyFill="1" applyBorder="1" applyAlignment="1">
      <alignment horizontal="right" vertical="center" wrapText="1"/>
    </xf>
    <xf numFmtId="0" fontId="11" fillId="0" borderId="0" xfId="1" applyFont="1" applyAlignment="1">
      <alignment vertical="top" wrapText="1"/>
    </xf>
    <xf numFmtId="0" fontId="5" fillId="0" borderId="21" xfId="1" applyFont="1" applyBorder="1" applyAlignment="1">
      <alignment horizontal="center" vertical="center" wrapText="1"/>
    </xf>
    <xf numFmtId="0" fontId="16" fillId="0" borderId="22" xfId="1" applyFont="1" applyBorder="1" applyAlignment="1">
      <alignment horizontal="left" vertical="center" wrapText="1"/>
    </xf>
    <xf numFmtId="0" fontId="16" fillId="0" borderId="14" xfId="1" applyFont="1" applyBorder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4" fontId="17" fillId="0" borderId="14" xfId="2" applyNumberFormat="1" applyFont="1" applyBorder="1" applyAlignment="1">
      <alignment horizontal="right" vertical="center" wrapText="1"/>
    </xf>
    <xf numFmtId="165" fontId="14" fillId="3" borderId="14" xfId="2" applyNumberFormat="1" applyFont="1" applyFill="1" applyBorder="1" applyAlignment="1">
      <alignment horizontal="right" vertical="center" wrapText="1"/>
    </xf>
    <xf numFmtId="165" fontId="18" fillId="3" borderId="14" xfId="2" applyNumberFormat="1" applyFont="1" applyFill="1" applyBorder="1" applyAlignment="1">
      <alignment horizontal="right" vertical="center" wrapText="1"/>
    </xf>
    <xf numFmtId="0" fontId="16" fillId="0" borderId="17" xfId="1" applyFont="1" applyBorder="1" applyAlignment="1">
      <alignment horizontal="left" vertical="center" wrapText="1"/>
    </xf>
    <xf numFmtId="4" fontId="14" fillId="3" borderId="14" xfId="2" applyNumberFormat="1" applyFont="1" applyFill="1" applyBorder="1" applyAlignment="1">
      <alignment horizontal="right" vertical="center" wrapText="1"/>
    </xf>
    <xf numFmtId="0" fontId="16" fillId="4" borderId="14" xfId="1" applyFont="1" applyFill="1" applyBorder="1" applyAlignment="1">
      <alignment horizontal="left" vertical="center" wrapText="1"/>
    </xf>
    <xf numFmtId="2" fontId="5" fillId="3" borderId="14" xfId="2" applyNumberFormat="1" applyFont="1" applyFill="1" applyBorder="1" applyAlignment="1">
      <alignment horizontal="right" vertical="center" wrapText="1"/>
    </xf>
    <xf numFmtId="2" fontId="14" fillId="3" borderId="14" xfId="2" applyNumberFormat="1" applyFont="1" applyFill="1" applyBorder="1" applyAlignment="1">
      <alignment horizontal="right" vertical="center" wrapText="1"/>
    </xf>
    <xf numFmtId="0" fontId="16" fillId="4" borderId="11" xfId="1" applyFont="1" applyFill="1" applyBorder="1" applyAlignment="1">
      <alignment horizontal="left" vertical="center" wrapText="1"/>
    </xf>
    <xf numFmtId="0" fontId="19" fillId="4" borderId="14" xfId="1" applyFont="1" applyFill="1" applyBorder="1" applyAlignment="1">
      <alignment horizontal="left" vertical="center" wrapText="1"/>
    </xf>
    <xf numFmtId="4" fontId="5" fillId="3" borderId="14" xfId="2" applyNumberFormat="1" applyFont="1" applyFill="1" applyBorder="1" applyAlignment="1">
      <alignment horizontal="right" vertical="center" wrapText="1"/>
    </xf>
    <xf numFmtId="4" fontId="5" fillId="4" borderId="14" xfId="2" applyNumberFormat="1" applyFont="1" applyFill="1" applyBorder="1" applyAlignment="1">
      <alignment horizontal="right" vertical="center" wrapText="1"/>
    </xf>
    <xf numFmtId="165" fontId="5" fillId="4" borderId="14" xfId="2" applyNumberFormat="1" applyFont="1" applyFill="1" applyBorder="1" applyAlignment="1">
      <alignment horizontal="right" vertical="center" wrapText="1"/>
    </xf>
    <xf numFmtId="4" fontId="20" fillId="0" borderId="13" xfId="1" applyNumberFormat="1" applyFont="1" applyBorder="1" applyAlignment="1">
      <alignment horizontal="center" vertical="center" wrapText="1"/>
    </xf>
    <xf numFmtId="4" fontId="15" fillId="0" borderId="14" xfId="1" applyNumberFormat="1" applyFont="1" applyBorder="1" applyAlignment="1">
      <alignment vertical="center" wrapText="1"/>
    </xf>
    <xf numFmtId="4" fontId="15" fillId="0" borderId="14" xfId="1" applyNumberFormat="1" applyFont="1" applyBorder="1" applyAlignment="1">
      <alignment horizontal="center" vertical="center" wrapText="1"/>
    </xf>
    <xf numFmtId="4" fontId="15" fillId="0" borderId="14" xfId="1" applyNumberFormat="1" applyFont="1" applyBorder="1" applyAlignment="1">
      <alignment horizontal="left" vertical="center" wrapText="1"/>
    </xf>
    <xf numFmtId="49" fontId="15" fillId="0" borderId="14" xfId="1" applyNumberFormat="1" applyFont="1" applyBorder="1" applyAlignment="1">
      <alignment horizontal="right" vertical="center" wrapText="1"/>
    </xf>
    <xf numFmtId="49" fontId="15" fillId="0" borderId="14" xfId="1" applyNumberFormat="1" applyFont="1" applyBorder="1" applyAlignment="1">
      <alignment horizontal="center" vertical="center" wrapText="1"/>
    </xf>
    <xf numFmtId="49" fontId="21" fillId="0" borderId="14" xfId="2" applyNumberFormat="1" applyFont="1" applyBorder="1" applyAlignment="1">
      <alignment vertical="center" wrapText="1"/>
    </xf>
    <xf numFmtId="0" fontId="22" fillId="0" borderId="0" xfId="1" applyFont="1" applyAlignment="1">
      <alignment horizontal="center" vertical="center"/>
    </xf>
    <xf numFmtId="0" fontId="8" fillId="0" borderId="0" xfId="1" applyFont="1" applyAlignment="1">
      <alignment horizontal="right" vertical="center"/>
    </xf>
    <xf numFmtId="49" fontId="21" fillId="0" borderId="0" xfId="2" applyNumberFormat="1" applyFont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24" fillId="0" borderId="0" xfId="1" applyFont="1" applyAlignment="1">
      <alignment horizontal="right" vertical="center"/>
    </xf>
    <xf numFmtId="4" fontId="24" fillId="0" borderId="0" xfId="1" applyNumberFormat="1" applyFont="1" applyAlignment="1">
      <alignment vertical="center"/>
    </xf>
    <xf numFmtId="0" fontId="25" fillId="0" borderId="0" xfId="1" applyFont="1" applyAlignment="1">
      <alignment vertical="center" wrapText="1"/>
    </xf>
    <xf numFmtId="0" fontId="26" fillId="0" borderId="0" xfId="1" applyFont="1" applyAlignment="1">
      <alignment vertical="center"/>
    </xf>
    <xf numFmtId="0" fontId="27" fillId="0" borderId="0" xfId="1" applyFont="1" applyAlignment="1">
      <alignment vertical="center" wrapText="1"/>
    </xf>
    <xf numFmtId="0" fontId="28" fillId="0" borderId="0" xfId="1" applyFont="1" applyAlignment="1">
      <alignment vertical="center" wrapText="1"/>
    </xf>
    <xf numFmtId="0" fontId="2" fillId="0" borderId="0" xfId="0" applyFont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5"/>
    </xf>
    <xf numFmtId="0" fontId="8" fillId="0" borderId="3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0" fillId="0" borderId="4" xfId="2" applyFont="1" applyBorder="1" applyAlignment="1">
      <alignment vertical="center" wrapText="1"/>
    </xf>
    <xf numFmtId="0" fontId="10" fillId="0" borderId="11" xfId="2" applyFont="1" applyBorder="1" applyAlignment="1">
      <alignment vertical="center" wrapText="1"/>
    </xf>
    <xf numFmtId="0" fontId="10" fillId="0" borderId="4" xfId="1" applyFont="1" applyBorder="1" applyAlignment="1">
      <alignment horizontal="center" vertical="center" textRotation="90" wrapText="1"/>
    </xf>
    <xf numFmtId="0" fontId="10" fillId="0" borderId="11" xfId="1" applyFont="1" applyBorder="1" applyAlignment="1">
      <alignment horizontal="center" vertical="center" textRotation="90" wrapText="1"/>
    </xf>
    <xf numFmtId="0" fontId="10" fillId="0" borderId="4" xfId="2" applyFont="1" applyBorder="1" applyAlignment="1">
      <alignment horizontal="center" vertical="center" textRotation="90" wrapText="1"/>
    </xf>
    <xf numFmtId="0" fontId="10" fillId="0" borderId="11" xfId="2" applyFont="1" applyBorder="1" applyAlignment="1">
      <alignment horizontal="center" vertical="center" textRotation="90" wrapText="1"/>
    </xf>
    <xf numFmtId="49" fontId="10" fillId="0" borderId="5" xfId="2" applyNumberFormat="1" applyFont="1" applyBorder="1" applyAlignment="1">
      <alignment horizontal="center" vertical="center" wrapText="1"/>
    </xf>
    <xf numFmtId="49" fontId="10" fillId="0" borderId="12" xfId="2" applyNumberFormat="1" applyFont="1" applyBorder="1" applyAlignment="1">
      <alignment horizontal="center" vertical="center" wrapText="1"/>
    </xf>
    <xf numFmtId="49" fontId="21" fillId="0" borderId="25" xfId="2" applyNumberFormat="1" applyFont="1" applyBorder="1" applyAlignment="1">
      <alignment horizontal="right" vertical="center" wrapText="1"/>
    </xf>
    <xf numFmtId="49" fontId="21" fillId="0" borderId="25" xfId="2" applyNumberFormat="1" applyFont="1" applyBorder="1" applyAlignment="1">
      <alignment horizontal="left" vertical="center" wrapText="1"/>
    </xf>
    <xf numFmtId="0" fontId="3" fillId="0" borderId="9" xfId="1" applyFont="1" applyBorder="1" applyAlignment="1">
      <alignment horizontal="center" vertical="center" wrapText="1"/>
    </xf>
    <xf numFmtId="166" fontId="15" fillId="0" borderId="23" xfId="1" applyNumberFormat="1" applyFont="1" applyBorder="1" applyAlignment="1">
      <alignment horizontal="left" vertical="center" wrapText="1"/>
    </xf>
    <xf numFmtId="0" fontId="13" fillId="2" borderId="19" xfId="1" applyFont="1" applyFill="1" applyBorder="1" applyAlignment="1">
      <alignment horizontal="center" vertical="center" wrapText="1"/>
    </xf>
    <xf numFmtId="0" fontId="13" fillId="2" borderId="20" xfId="1" applyFont="1" applyFill="1" applyBorder="1" applyAlignment="1">
      <alignment horizontal="center" vertical="center" wrapText="1"/>
    </xf>
    <xf numFmtId="49" fontId="21" fillId="0" borderId="0" xfId="2" applyNumberFormat="1" applyFont="1" applyBorder="1" applyAlignment="1">
      <alignment horizontal="left" vertical="center" wrapText="1"/>
    </xf>
    <xf numFmtId="0" fontId="3" fillId="0" borderId="26" xfId="1" applyFont="1" applyBorder="1" applyAlignment="1">
      <alignment horizontal="center" vertical="center" wrapText="1"/>
    </xf>
    <xf numFmtId="4" fontId="3" fillId="0" borderId="23" xfId="1" applyNumberFormat="1" applyFont="1" applyBorder="1" applyAlignment="1">
      <alignment horizontal="center" vertical="center" wrapText="1"/>
    </xf>
    <xf numFmtId="4" fontId="12" fillId="0" borderId="27" xfId="1" applyNumberFormat="1" applyFont="1" applyBorder="1" applyAlignment="1">
      <alignment horizontal="center" vertical="center"/>
    </xf>
    <xf numFmtId="4" fontId="15" fillId="3" borderId="23" xfId="1" applyNumberFormat="1" applyFont="1" applyFill="1" applyBorder="1" applyAlignment="1">
      <alignment horizontal="right" vertical="center" wrapText="1"/>
    </xf>
    <xf numFmtId="4" fontId="14" fillId="3" borderId="23" xfId="1" applyNumberFormat="1" applyFont="1" applyFill="1" applyBorder="1" applyAlignment="1">
      <alignment horizontal="right" vertical="center" wrapText="1"/>
    </xf>
    <xf numFmtId="166" fontId="15" fillId="0" borderId="28" xfId="1" applyNumberFormat="1" applyFont="1" applyBorder="1" applyAlignment="1">
      <alignment horizontal="left" vertical="center" wrapText="1"/>
    </xf>
    <xf numFmtId="4" fontId="15" fillId="3" borderId="24" xfId="1" applyNumberFormat="1" applyFont="1" applyFill="1" applyBorder="1" applyAlignment="1">
      <alignment horizontal="righ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/>
    </xf>
  </cellXfs>
  <cellStyles count="3">
    <cellStyle name="Normal" xfId="0" builtinId="0"/>
    <cellStyle name="Normal_BOŞMETRAJTABLOSU" xfId="1" xr:uid="{00000000-0005-0000-0000-000001000000}"/>
    <cellStyle name="Normal_Sheet1" xfId="2" xr:uid="{00000000-0005-0000-0000-000002000000}"/>
  </cellStyles>
  <dxfs count="22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ont>
        <b/>
        <i val="0"/>
      </font>
      <fill>
        <patternFill patternType="none">
          <bgColor indexed="65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 patternType="none">
          <bgColor indexed="65"/>
        </patternFill>
      </fill>
    </dxf>
    <dxf>
      <font>
        <color theme="2" tint="-9.9948118533890809E-2"/>
        <name val="Cambria"/>
        <scheme val="none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5"/>
  <sheetViews>
    <sheetView tabSelected="1" topLeftCell="A25" zoomScale="70" zoomScaleNormal="70" workbookViewId="0">
      <selection activeCell="I9" sqref="I9"/>
    </sheetView>
  </sheetViews>
  <sheetFormatPr defaultColWidth="9.140625" defaultRowHeight="15" customHeight="1" outlineLevelCol="1"/>
  <cols>
    <col min="1" max="1" width="3.85546875" style="65" customWidth="1"/>
    <col min="2" max="2" width="5.140625" style="63" customWidth="1"/>
    <col min="3" max="3" width="64.5703125" style="64" customWidth="1"/>
    <col min="4" max="4" width="8.42578125" style="65" customWidth="1"/>
    <col min="5" max="5" width="7.7109375" style="65" customWidth="1"/>
    <col min="6" max="6" width="9.42578125" style="61" customWidth="1"/>
    <col min="7" max="7" width="8.42578125" style="61" customWidth="1"/>
    <col min="8" max="8" width="10.140625" style="61" customWidth="1"/>
    <col min="9" max="9" width="7.42578125" style="61" customWidth="1"/>
    <col min="10" max="10" width="11.42578125" style="61" customWidth="1"/>
    <col min="11" max="11" width="9.28515625" style="66" customWidth="1"/>
    <col min="12" max="12" width="11" style="67" customWidth="1"/>
    <col min="13" max="13" width="64.5703125" style="67" customWidth="1"/>
    <col min="14" max="14" width="25.28515625" style="21" customWidth="1" outlineLevel="1"/>
    <col min="15" max="16384" width="9.140625" style="65"/>
  </cols>
  <sheetData>
    <row r="1" spans="1:14" s="1" customFormat="1" ht="24.95" customHeight="1">
      <c r="B1" s="2"/>
      <c r="C1" s="72" t="s">
        <v>0</v>
      </c>
      <c r="D1" s="72"/>
      <c r="E1" s="72"/>
      <c r="F1" s="72"/>
      <c r="G1" s="72"/>
      <c r="H1" s="72"/>
      <c r="I1" s="72"/>
      <c r="J1" s="72"/>
      <c r="K1" s="3"/>
      <c r="L1" s="4"/>
      <c r="M1" s="4"/>
    </row>
    <row r="2" spans="1:14" s="1" customFormat="1" ht="24.95" customHeight="1">
      <c r="B2" s="2"/>
      <c r="C2" s="5" t="s">
        <v>1</v>
      </c>
      <c r="D2" s="6"/>
      <c r="E2" s="7"/>
      <c r="F2" s="7"/>
      <c r="G2" s="7"/>
      <c r="H2" s="7"/>
      <c r="I2" s="7"/>
      <c r="J2" s="7"/>
      <c r="K2" s="3"/>
      <c r="L2" s="4"/>
      <c r="M2" s="4"/>
    </row>
    <row r="3" spans="1:14" s="8" customFormat="1" ht="24.95" customHeight="1" thickBot="1">
      <c r="B3" s="9"/>
      <c r="C3" s="73" t="s">
        <v>2</v>
      </c>
      <c r="D3" s="73"/>
      <c r="E3" s="73"/>
      <c r="F3" s="73"/>
      <c r="G3" s="73"/>
      <c r="H3" s="73"/>
      <c r="I3" s="73"/>
      <c r="J3" s="73"/>
      <c r="K3" s="3" t="s">
        <v>3</v>
      </c>
      <c r="L3" s="10" t="s">
        <v>4</v>
      </c>
      <c r="M3" s="10"/>
    </row>
    <row r="4" spans="1:14" s="8" customFormat="1" ht="21" customHeight="1">
      <c r="B4" s="74" t="s">
        <v>5</v>
      </c>
      <c r="C4" s="76" t="s">
        <v>6</v>
      </c>
      <c r="D4" s="78" t="s">
        <v>7</v>
      </c>
      <c r="E4" s="80" t="s">
        <v>8</v>
      </c>
      <c r="F4" s="82" t="s">
        <v>9</v>
      </c>
      <c r="G4" s="11" t="s">
        <v>10</v>
      </c>
      <c r="H4" s="12"/>
      <c r="I4" s="13" t="s">
        <v>11</v>
      </c>
      <c r="J4" s="14"/>
      <c r="K4" s="86" t="s">
        <v>12</v>
      </c>
      <c r="L4" s="91"/>
      <c r="M4" s="98"/>
    </row>
    <row r="5" spans="1:14" s="15" customFormat="1" ht="44.25" customHeight="1">
      <c r="B5" s="75"/>
      <c r="C5" s="77"/>
      <c r="D5" s="79"/>
      <c r="E5" s="81"/>
      <c r="F5" s="83"/>
      <c r="G5" s="16" t="s">
        <v>13</v>
      </c>
      <c r="H5" s="17" t="s">
        <v>14</v>
      </c>
      <c r="I5" s="18" t="s">
        <v>13</v>
      </c>
      <c r="J5" s="19" t="s">
        <v>14</v>
      </c>
      <c r="K5" s="20" t="s">
        <v>15</v>
      </c>
      <c r="L5" s="92" t="s">
        <v>16</v>
      </c>
      <c r="M5" s="98" t="s">
        <v>53</v>
      </c>
      <c r="N5" s="21"/>
    </row>
    <row r="6" spans="1:14" s="22" customFormat="1" ht="13.5" thickBot="1">
      <c r="B6" s="23">
        <v>1</v>
      </c>
      <c r="C6" s="24">
        <v>2</v>
      </c>
      <c r="D6" s="25">
        <v>3</v>
      </c>
      <c r="E6" s="24">
        <v>4</v>
      </c>
      <c r="F6" s="26">
        <v>5</v>
      </c>
      <c r="G6" s="27">
        <v>6</v>
      </c>
      <c r="H6" s="28">
        <v>7</v>
      </c>
      <c r="I6" s="28">
        <v>8</v>
      </c>
      <c r="J6" s="29">
        <v>9</v>
      </c>
      <c r="K6" s="30">
        <v>10</v>
      </c>
      <c r="L6" s="93">
        <v>11</v>
      </c>
      <c r="M6" s="98"/>
      <c r="N6" s="31"/>
    </row>
    <row r="7" spans="1:14" s="32" customFormat="1" ht="37.9" customHeight="1">
      <c r="A7" s="32">
        <v>2</v>
      </c>
      <c r="B7" s="88" t="s">
        <v>25</v>
      </c>
      <c r="C7" s="89"/>
      <c r="D7" s="38"/>
      <c r="E7" s="39"/>
      <c r="F7" s="40"/>
      <c r="G7" s="33"/>
      <c r="H7" s="41">
        <f t="shared" ref="H7:H26" si="0">F7*G7</f>
        <v>0</v>
      </c>
      <c r="I7" s="33"/>
      <c r="J7" s="33">
        <f t="shared" ref="J7:J34" si="1">F7*I7</f>
        <v>0</v>
      </c>
      <c r="K7" s="34">
        <f t="shared" ref="K7:K34" si="2">H7+J7</f>
        <v>0</v>
      </c>
      <c r="L7" s="94" t="e">
        <f>K7+#REF!</f>
        <v>#REF!</v>
      </c>
      <c r="M7" s="98"/>
      <c r="N7" s="35"/>
    </row>
    <row r="8" spans="1:14" s="32" customFormat="1" ht="25.5">
      <c r="A8" s="32">
        <v>2</v>
      </c>
      <c r="B8" s="36">
        <v>1</v>
      </c>
      <c r="C8" s="43" t="s">
        <v>51</v>
      </c>
      <c r="D8" s="38" t="s">
        <v>17</v>
      </c>
      <c r="E8" s="39" t="s">
        <v>18</v>
      </c>
      <c r="F8" s="40">
        <v>11</v>
      </c>
      <c r="G8" s="33"/>
      <c r="H8" s="41">
        <f t="shared" si="0"/>
        <v>0</v>
      </c>
      <c r="I8" s="33">
        <v>129.27000000000001</v>
      </c>
      <c r="J8" s="33">
        <f>F8*I8</f>
        <v>1421.97</v>
      </c>
      <c r="K8" s="34">
        <f>H8+J8</f>
        <v>1421.97</v>
      </c>
      <c r="L8" s="94" t="e">
        <f>K8+L7</f>
        <v>#REF!</v>
      </c>
      <c r="M8" s="98" t="s">
        <v>69</v>
      </c>
      <c r="N8" s="97" t="e">
        <f>L27+#REF!</f>
        <v>#REF!</v>
      </c>
    </row>
    <row r="9" spans="1:14" s="32" customFormat="1" ht="25.5">
      <c r="A9" s="32">
        <v>2</v>
      </c>
      <c r="B9" s="36">
        <v>2</v>
      </c>
      <c r="C9" s="43" t="s">
        <v>52</v>
      </c>
      <c r="D9" s="38" t="s">
        <v>17</v>
      </c>
      <c r="E9" s="39" t="s">
        <v>18</v>
      </c>
      <c r="F9" s="40">
        <v>11</v>
      </c>
      <c r="G9" s="33"/>
      <c r="H9" s="41">
        <f t="shared" si="0"/>
        <v>0</v>
      </c>
      <c r="I9" s="33">
        <v>72.11</v>
      </c>
      <c r="J9" s="33">
        <f t="shared" ref="J9" si="3">F9*I9</f>
        <v>793.21</v>
      </c>
      <c r="K9" s="34">
        <f t="shared" ref="K9" si="4">H9+J9</f>
        <v>793.21</v>
      </c>
      <c r="L9" s="94" t="e">
        <f t="shared" ref="L9" si="5">K9+L8</f>
        <v>#REF!</v>
      </c>
      <c r="M9" s="98" t="s">
        <v>70</v>
      </c>
      <c r="N9" s="35"/>
    </row>
    <row r="10" spans="1:14" s="32" customFormat="1" ht="36" customHeight="1">
      <c r="A10" s="32">
        <v>3</v>
      </c>
      <c r="B10" s="36">
        <v>3</v>
      </c>
      <c r="C10" s="37" t="s">
        <v>26</v>
      </c>
      <c r="D10" s="38" t="s">
        <v>17</v>
      </c>
      <c r="E10" s="39" t="s">
        <v>18</v>
      </c>
      <c r="F10" s="40">
        <v>2</v>
      </c>
      <c r="G10" s="44"/>
      <c r="H10" s="41">
        <f t="shared" si="0"/>
        <v>0</v>
      </c>
      <c r="I10" s="44">
        <v>301.36</v>
      </c>
      <c r="J10" s="33">
        <f t="shared" si="1"/>
        <v>602.72</v>
      </c>
      <c r="K10" s="34">
        <f t="shared" si="2"/>
        <v>602.72</v>
      </c>
      <c r="L10" s="94" t="e">
        <f>K10+#REF!</f>
        <v>#REF!</v>
      </c>
      <c r="M10" s="98" t="s">
        <v>71</v>
      </c>
      <c r="N10" s="35"/>
    </row>
    <row r="11" spans="1:14" s="32" customFormat="1" ht="30.75" customHeight="1">
      <c r="A11" s="32">
        <v>3</v>
      </c>
      <c r="B11" s="36">
        <v>4</v>
      </c>
      <c r="C11" s="43" t="s">
        <v>27</v>
      </c>
      <c r="D11" s="38" t="s">
        <v>17</v>
      </c>
      <c r="E11" s="39" t="s">
        <v>18</v>
      </c>
      <c r="F11" s="40">
        <v>2</v>
      </c>
      <c r="G11" s="44"/>
      <c r="H11" s="41">
        <f t="shared" si="0"/>
        <v>0</v>
      </c>
      <c r="I11" s="44">
        <v>199.78</v>
      </c>
      <c r="J11" s="33">
        <f t="shared" si="1"/>
        <v>399.56</v>
      </c>
      <c r="K11" s="34">
        <f t="shared" si="2"/>
        <v>399.56</v>
      </c>
      <c r="L11" s="94" t="e">
        <f t="shared" ref="L11:L17" si="6">K11+L10</f>
        <v>#REF!</v>
      </c>
      <c r="M11" s="98" t="s">
        <v>72</v>
      </c>
      <c r="N11" s="35"/>
    </row>
    <row r="12" spans="1:14" s="32" customFormat="1" ht="16.899999999999999" customHeight="1">
      <c r="A12" s="32">
        <v>3</v>
      </c>
      <c r="B12" s="36">
        <v>5</v>
      </c>
      <c r="C12" s="43" t="s">
        <v>28</v>
      </c>
      <c r="D12" s="38" t="s">
        <v>17</v>
      </c>
      <c r="E12" s="39" t="s">
        <v>18</v>
      </c>
      <c r="F12" s="40">
        <v>2</v>
      </c>
      <c r="G12" s="44"/>
      <c r="H12" s="41">
        <f t="shared" si="0"/>
        <v>0</v>
      </c>
      <c r="I12" s="44">
        <v>71.53</v>
      </c>
      <c r="J12" s="33">
        <f>F12*I12</f>
        <v>143.06</v>
      </c>
      <c r="K12" s="34">
        <f t="shared" si="2"/>
        <v>143.06</v>
      </c>
      <c r="L12" s="94" t="e">
        <f t="shared" si="6"/>
        <v>#REF!</v>
      </c>
      <c r="M12" s="99" t="s">
        <v>54</v>
      </c>
      <c r="N12" s="35"/>
    </row>
    <row r="13" spans="1:14" s="32" customFormat="1" ht="16.899999999999999" customHeight="1">
      <c r="A13" s="32">
        <v>3</v>
      </c>
      <c r="B13" s="36">
        <v>6</v>
      </c>
      <c r="C13" s="43" t="s">
        <v>29</v>
      </c>
      <c r="D13" s="38" t="s">
        <v>17</v>
      </c>
      <c r="E13" s="39" t="s">
        <v>18</v>
      </c>
      <c r="F13" s="40">
        <v>2</v>
      </c>
      <c r="G13" s="44"/>
      <c r="H13" s="41">
        <f t="shared" si="0"/>
        <v>0</v>
      </c>
      <c r="I13" s="44">
        <v>430.81</v>
      </c>
      <c r="J13" s="33">
        <f t="shared" si="1"/>
        <v>861.62</v>
      </c>
      <c r="K13" s="34">
        <f t="shared" si="2"/>
        <v>861.62</v>
      </c>
      <c r="L13" s="94" t="e">
        <f t="shared" si="6"/>
        <v>#REF!</v>
      </c>
      <c r="M13" s="98" t="s">
        <v>55</v>
      </c>
      <c r="N13" s="35"/>
    </row>
    <row r="14" spans="1:14" s="32" customFormat="1" ht="16.899999999999999" customHeight="1">
      <c r="A14" s="32">
        <v>3</v>
      </c>
      <c r="B14" s="36">
        <v>7</v>
      </c>
      <c r="C14" s="43" t="s">
        <v>30</v>
      </c>
      <c r="D14" s="38" t="s">
        <v>17</v>
      </c>
      <c r="E14" s="39" t="s">
        <v>18</v>
      </c>
      <c r="F14" s="40">
        <v>24</v>
      </c>
      <c r="G14" s="44"/>
      <c r="H14" s="41">
        <f t="shared" si="0"/>
        <v>0</v>
      </c>
      <c r="I14" s="44">
        <v>2.09</v>
      </c>
      <c r="J14" s="33">
        <f t="shared" si="1"/>
        <v>50.16</v>
      </c>
      <c r="K14" s="34">
        <f t="shared" si="2"/>
        <v>50.16</v>
      </c>
      <c r="L14" s="94" t="e">
        <f t="shared" si="6"/>
        <v>#REF!</v>
      </c>
      <c r="M14" s="98" t="s">
        <v>56</v>
      </c>
      <c r="N14" s="35"/>
    </row>
    <row r="15" spans="1:14" s="32" customFormat="1" ht="16.899999999999999" customHeight="1">
      <c r="A15" s="32">
        <v>3</v>
      </c>
      <c r="B15" s="36">
        <v>8</v>
      </c>
      <c r="C15" s="43" t="s">
        <v>31</v>
      </c>
      <c r="D15" s="38" t="s">
        <v>17</v>
      </c>
      <c r="E15" s="39" t="s">
        <v>18</v>
      </c>
      <c r="F15" s="40">
        <v>2</v>
      </c>
      <c r="G15" s="44"/>
      <c r="H15" s="41">
        <f t="shared" si="0"/>
        <v>0</v>
      </c>
      <c r="I15" s="44">
        <v>21</v>
      </c>
      <c r="J15" s="33">
        <f t="shared" si="1"/>
        <v>42</v>
      </c>
      <c r="K15" s="34">
        <f t="shared" si="2"/>
        <v>42</v>
      </c>
      <c r="L15" s="94" t="e">
        <f t="shared" si="6"/>
        <v>#REF!</v>
      </c>
      <c r="M15" s="98" t="s">
        <v>57</v>
      </c>
      <c r="N15" s="35"/>
    </row>
    <row r="16" spans="1:14" s="32" customFormat="1" ht="16.899999999999999" customHeight="1">
      <c r="A16" s="32">
        <v>5</v>
      </c>
      <c r="B16" s="36">
        <v>10</v>
      </c>
      <c r="C16" s="43" t="s">
        <v>32</v>
      </c>
      <c r="D16" s="38" t="s">
        <v>17</v>
      </c>
      <c r="E16" s="39" t="s">
        <v>18</v>
      </c>
      <c r="F16" s="40">
        <v>2</v>
      </c>
      <c r="G16" s="44"/>
      <c r="H16" s="41">
        <f t="shared" si="0"/>
        <v>0</v>
      </c>
      <c r="I16" s="44">
        <v>120</v>
      </c>
      <c r="J16" s="33">
        <f t="shared" si="1"/>
        <v>240</v>
      </c>
      <c r="K16" s="34">
        <f t="shared" si="2"/>
        <v>240</v>
      </c>
      <c r="L16" s="94" t="e">
        <f>K16+#REF!</f>
        <v>#REF!</v>
      </c>
      <c r="M16" s="98" t="s">
        <v>58</v>
      </c>
      <c r="N16" s="35"/>
    </row>
    <row r="17" spans="1:14" s="32" customFormat="1" ht="16.899999999999999" customHeight="1">
      <c r="A17" s="32">
        <v>5</v>
      </c>
      <c r="B17" s="36">
        <v>11</v>
      </c>
      <c r="C17" s="43" t="s">
        <v>33</v>
      </c>
      <c r="D17" s="38" t="s">
        <v>17</v>
      </c>
      <c r="E17" s="39" t="s">
        <v>18</v>
      </c>
      <c r="F17" s="40">
        <v>44</v>
      </c>
      <c r="G17" s="44"/>
      <c r="H17" s="41">
        <f t="shared" si="0"/>
        <v>0</v>
      </c>
      <c r="I17" s="44">
        <v>0.12</v>
      </c>
      <c r="J17" s="33">
        <f t="shared" si="1"/>
        <v>5.2799999999999994</v>
      </c>
      <c r="K17" s="34">
        <f t="shared" si="2"/>
        <v>5.2799999999999994</v>
      </c>
      <c r="L17" s="94" t="e">
        <f t="shared" si="6"/>
        <v>#REF!</v>
      </c>
      <c r="M17" s="98" t="s">
        <v>59</v>
      </c>
      <c r="N17" s="35"/>
    </row>
    <row r="18" spans="1:14" s="32" customFormat="1" ht="16.899999999999999" customHeight="1">
      <c r="A18" s="32">
        <v>5</v>
      </c>
      <c r="B18" s="36">
        <v>12</v>
      </c>
      <c r="C18" s="43" t="s">
        <v>34</v>
      </c>
      <c r="D18" s="38" t="s">
        <v>17</v>
      </c>
      <c r="E18" s="39" t="s">
        <v>18</v>
      </c>
      <c r="F18" s="40">
        <v>22</v>
      </c>
      <c r="G18" s="44"/>
      <c r="H18" s="41">
        <f t="shared" si="0"/>
        <v>0</v>
      </c>
      <c r="I18" s="44"/>
      <c r="J18" s="33">
        <f t="shared" si="1"/>
        <v>0</v>
      </c>
      <c r="K18" s="34">
        <f t="shared" si="2"/>
        <v>0</v>
      </c>
      <c r="L18" s="94" t="e">
        <f>K18+L12</f>
        <v>#REF!</v>
      </c>
      <c r="M18" s="98"/>
      <c r="N18" s="35"/>
    </row>
    <row r="19" spans="1:14" s="32" customFormat="1" ht="51.75" customHeight="1">
      <c r="A19" s="32">
        <v>5</v>
      </c>
      <c r="B19" s="36">
        <v>13</v>
      </c>
      <c r="C19" s="45" t="s">
        <v>35</v>
      </c>
      <c r="D19" s="38" t="s">
        <v>17</v>
      </c>
      <c r="E19" s="39" t="s">
        <v>19</v>
      </c>
      <c r="F19" s="40">
        <v>3890</v>
      </c>
      <c r="G19" s="44"/>
      <c r="H19" s="41">
        <f t="shared" si="0"/>
        <v>0</v>
      </c>
      <c r="I19" s="44">
        <v>0.85</v>
      </c>
      <c r="J19" s="33">
        <f t="shared" si="1"/>
        <v>3306.5</v>
      </c>
      <c r="K19" s="34">
        <f t="shared" si="2"/>
        <v>3306.5</v>
      </c>
      <c r="L19" s="94" t="e">
        <f>K19+L10</f>
        <v>#REF!</v>
      </c>
      <c r="M19" s="98" t="s">
        <v>60</v>
      </c>
      <c r="N19" s="35"/>
    </row>
    <row r="20" spans="1:14" s="32" customFormat="1" ht="25.5">
      <c r="A20" s="32">
        <v>5</v>
      </c>
      <c r="B20" s="36">
        <v>14</v>
      </c>
      <c r="C20" s="45" t="s">
        <v>46</v>
      </c>
      <c r="D20" s="38" t="s">
        <v>17</v>
      </c>
      <c r="E20" s="39" t="s">
        <v>19</v>
      </c>
      <c r="F20" s="40">
        <v>3350</v>
      </c>
      <c r="G20" s="44"/>
      <c r="H20" s="41">
        <f t="shared" si="0"/>
        <v>0</v>
      </c>
      <c r="I20" s="44">
        <v>0.52</v>
      </c>
      <c r="J20" s="41">
        <f t="shared" si="1"/>
        <v>1742</v>
      </c>
      <c r="K20" s="41">
        <f t="shared" si="2"/>
        <v>1742</v>
      </c>
      <c r="L20" s="95" t="e">
        <f>K20+L19</f>
        <v>#REF!</v>
      </c>
      <c r="M20" s="98" t="s">
        <v>46</v>
      </c>
      <c r="N20" s="35"/>
    </row>
    <row r="21" spans="1:14" s="32" customFormat="1" ht="26.25" customHeight="1">
      <c r="A21" s="32">
        <v>6</v>
      </c>
      <c r="B21" s="88" t="s">
        <v>45</v>
      </c>
      <c r="C21" s="89"/>
      <c r="D21" s="38"/>
      <c r="E21" s="39"/>
      <c r="F21" s="40"/>
      <c r="G21" s="46"/>
      <c r="H21" s="41">
        <f t="shared" si="0"/>
        <v>0</v>
      </c>
      <c r="I21" s="47"/>
      <c r="J21" s="33">
        <f t="shared" si="1"/>
        <v>0</v>
      </c>
      <c r="K21" s="34">
        <f t="shared" si="2"/>
        <v>0</v>
      </c>
      <c r="L21" s="94" t="e">
        <f t="shared" ref="L21:L32" si="7">K21+L20</f>
        <v>#REF!</v>
      </c>
      <c r="M21" s="98"/>
      <c r="N21" s="35"/>
    </row>
    <row r="22" spans="1:14" s="32" customFormat="1" ht="38.25">
      <c r="A22" s="32">
        <v>1</v>
      </c>
      <c r="B22" s="36">
        <v>1</v>
      </c>
      <c r="C22" s="48" t="s">
        <v>44</v>
      </c>
      <c r="D22" s="38" t="s">
        <v>17</v>
      </c>
      <c r="E22" s="39" t="s">
        <v>18</v>
      </c>
      <c r="F22" s="40">
        <v>4</v>
      </c>
      <c r="G22" s="46"/>
      <c r="H22" s="41">
        <f t="shared" si="0"/>
        <v>0</v>
      </c>
      <c r="I22" s="46">
        <v>340</v>
      </c>
      <c r="J22" s="33">
        <f t="shared" si="1"/>
        <v>1360</v>
      </c>
      <c r="K22" s="34">
        <f t="shared" si="2"/>
        <v>1360</v>
      </c>
      <c r="L22" s="94" t="e">
        <f t="shared" si="7"/>
        <v>#REF!</v>
      </c>
      <c r="M22" s="98" t="s">
        <v>61</v>
      </c>
      <c r="N22" s="35"/>
    </row>
    <row r="23" spans="1:14" s="32" customFormat="1" ht="25.5">
      <c r="A23" s="32">
        <v>2</v>
      </c>
      <c r="B23" s="36">
        <v>2</v>
      </c>
      <c r="C23" s="48" t="s">
        <v>36</v>
      </c>
      <c r="D23" s="38" t="s">
        <v>17</v>
      </c>
      <c r="E23" s="39" t="s">
        <v>18</v>
      </c>
      <c r="F23" s="40">
        <v>2</v>
      </c>
      <c r="G23" s="46"/>
      <c r="H23" s="41">
        <f t="shared" si="0"/>
        <v>0</v>
      </c>
      <c r="I23" s="46"/>
      <c r="J23" s="33">
        <f t="shared" si="1"/>
        <v>0</v>
      </c>
      <c r="K23" s="34">
        <f t="shared" si="2"/>
        <v>0</v>
      </c>
      <c r="L23" s="94" t="e">
        <f t="shared" si="7"/>
        <v>#REF!</v>
      </c>
      <c r="M23" s="98"/>
      <c r="N23" s="35"/>
    </row>
    <row r="24" spans="1:14" s="32" customFormat="1" ht="25.5">
      <c r="A24" s="32">
        <v>3</v>
      </c>
      <c r="B24" s="36">
        <v>3</v>
      </c>
      <c r="C24" s="49" t="s">
        <v>37</v>
      </c>
      <c r="D24" s="38" t="s">
        <v>17</v>
      </c>
      <c r="E24" s="39" t="s">
        <v>18</v>
      </c>
      <c r="F24" s="40">
        <v>3</v>
      </c>
      <c r="G24" s="46"/>
      <c r="H24" s="41">
        <f t="shared" si="0"/>
        <v>0</v>
      </c>
      <c r="I24" s="46">
        <v>51.09</v>
      </c>
      <c r="J24" s="33">
        <f t="shared" si="1"/>
        <v>153.27000000000001</v>
      </c>
      <c r="K24" s="34">
        <f t="shared" si="2"/>
        <v>153.27000000000001</v>
      </c>
      <c r="L24" s="94" t="e">
        <f t="shared" si="7"/>
        <v>#REF!</v>
      </c>
      <c r="M24" s="98" t="s">
        <v>62</v>
      </c>
      <c r="N24" s="35"/>
    </row>
    <row r="25" spans="1:14" s="32" customFormat="1" ht="25.5">
      <c r="A25" s="32">
        <v>4</v>
      </c>
      <c r="B25" s="36">
        <v>4</v>
      </c>
      <c r="C25" s="45" t="s">
        <v>38</v>
      </c>
      <c r="D25" s="38" t="s">
        <v>17</v>
      </c>
      <c r="E25" s="39" t="s">
        <v>18</v>
      </c>
      <c r="F25" s="40">
        <v>3</v>
      </c>
      <c r="G25" s="46"/>
      <c r="H25" s="41">
        <f t="shared" si="0"/>
        <v>0</v>
      </c>
      <c r="I25" s="46">
        <v>70</v>
      </c>
      <c r="J25" s="33">
        <f t="shared" si="1"/>
        <v>210</v>
      </c>
      <c r="K25" s="34">
        <f t="shared" si="2"/>
        <v>210</v>
      </c>
      <c r="L25" s="94" t="e">
        <f t="shared" si="7"/>
        <v>#REF!</v>
      </c>
      <c r="M25" s="98" t="s">
        <v>63</v>
      </c>
      <c r="N25" s="35"/>
    </row>
    <row r="26" spans="1:14" s="32" customFormat="1" ht="25.5">
      <c r="A26" s="32">
        <v>5.0999999999999996</v>
      </c>
      <c r="B26" s="36">
        <v>5</v>
      </c>
      <c r="C26" s="49" t="s">
        <v>39</v>
      </c>
      <c r="D26" s="38" t="s">
        <v>17</v>
      </c>
      <c r="E26" s="39" t="s">
        <v>18</v>
      </c>
      <c r="F26" s="40">
        <v>1</v>
      </c>
      <c r="G26" s="50"/>
      <c r="H26" s="41">
        <f t="shared" si="0"/>
        <v>0</v>
      </c>
      <c r="I26" s="50"/>
      <c r="J26" s="33">
        <f t="shared" si="1"/>
        <v>0</v>
      </c>
      <c r="K26" s="34">
        <f t="shared" si="2"/>
        <v>0</v>
      </c>
      <c r="L26" s="94" t="e">
        <f t="shared" si="7"/>
        <v>#REF!</v>
      </c>
      <c r="M26" s="98"/>
      <c r="N26" s="35"/>
    </row>
    <row r="27" spans="1:14" s="32" customFormat="1" ht="25.5">
      <c r="A27" s="32">
        <v>5.2</v>
      </c>
      <c r="B27" s="36">
        <v>6</v>
      </c>
      <c r="C27" s="49" t="s">
        <v>47</v>
      </c>
      <c r="D27" s="38" t="s">
        <v>17</v>
      </c>
      <c r="E27" s="39" t="s">
        <v>18</v>
      </c>
      <c r="F27" s="40">
        <v>14</v>
      </c>
      <c r="G27" s="50"/>
      <c r="H27" s="41">
        <f t="shared" ref="H27:H34" si="8">F27*G27</f>
        <v>0</v>
      </c>
      <c r="I27" s="50"/>
      <c r="J27" s="33">
        <f t="shared" si="1"/>
        <v>0</v>
      </c>
      <c r="K27" s="34">
        <f t="shared" si="2"/>
        <v>0</v>
      </c>
      <c r="L27" s="94" t="e">
        <f t="shared" si="7"/>
        <v>#REF!</v>
      </c>
      <c r="M27" s="98"/>
      <c r="N27" s="35"/>
    </row>
    <row r="28" spans="1:14" s="32" customFormat="1" ht="25.5">
      <c r="A28" s="32">
        <v>5.3</v>
      </c>
      <c r="B28" s="36">
        <v>7</v>
      </c>
      <c r="C28" s="49" t="s">
        <v>48</v>
      </c>
      <c r="D28" s="38" t="s">
        <v>17</v>
      </c>
      <c r="E28" s="39" t="s">
        <v>18</v>
      </c>
      <c r="F28" s="40">
        <v>17</v>
      </c>
      <c r="G28" s="46"/>
      <c r="H28" s="41">
        <f t="shared" si="8"/>
        <v>0</v>
      </c>
      <c r="I28" s="46">
        <v>2.5499999999999998</v>
      </c>
      <c r="J28" s="33">
        <f t="shared" si="1"/>
        <v>43.349999999999994</v>
      </c>
      <c r="K28" s="34">
        <f t="shared" si="2"/>
        <v>43.349999999999994</v>
      </c>
      <c r="L28" s="94" t="e">
        <f t="shared" si="7"/>
        <v>#REF!</v>
      </c>
      <c r="M28" s="98" t="s">
        <v>64</v>
      </c>
      <c r="N28" s="35"/>
    </row>
    <row r="29" spans="1:14" s="32" customFormat="1" ht="25.5">
      <c r="A29" s="32">
        <v>5.4</v>
      </c>
      <c r="B29" s="36">
        <v>8</v>
      </c>
      <c r="C29" s="49" t="s">
        <v>40</v>
      </c>
      <c r="D29" s="38" t="s">
        <v>17</v>
      </c>
      <c r="E29" s="39" t="s">
        <v>18</v>
      </c>
      <c r="F29" s="40">
        <v>9</v>
      </c>
      <c r="G29" s="50"/>
      <c r="H29" s="41">
        <f t="shared" si="8"/>
        <v>0</v>
      </c>
      <c r="I29" s="50"/>
      <c r="J29" s="33">
        <f t="shared" si="1"/>
        <v>0</v>
      </c>
      <c r="K29" s="34">
        <f t="shared" si="2"/>
        <v>0</v>
      </c>
      <c r="L29" s="94" t="e">
        <f t="shared" si="7"/>
        <v>#REF!</v>
      </c>
      <c r="M29" s="98"/>
      <c r="N29" s="35"/>
    </row>
    <row r="30" spans="1:14" s="32" customFormat="1" ht="25.5">
      <c r="A30" s="32">
        <v>5.5</v>
      </c>
      <c r="B30" s="36">
        <v>9</v>
      </c>
      <c r="C30" s="49" t="s">
        <v>41</v>
      </c>
      <c r="D30" s="38" t="s">
        <v>17</v>
      </c>
      <c r="E30" s="39" t="s">
        <v>18</v>
      </c>
      <c r="F30" s="40">
        <v>40</v>
      </c>
      <c r="G30" s="51"/>
      <c r="H30" s="41">
        <f t="shared" si="8"/>
        <v>0</v>
      </c>
      <c r="I30" s="51">
        <v>1.6</v>
      </c>
      <c r="J30" s="52">
        <f t="shared" si="1"/>
        <v>64</v>
      </c>
      <c r="K30" s="34">
        <f t="shared" si="2"/>
        <v>64</v>
      </c>
      <c r="L30" s="94" t="e">
        <f t="shared" si="7"/>
        <v>#REF!</v>
      </c>
      <c r="M30" s="98" t="s">
        <v>65</v>
      </c>
      <c r="N30" s="35"/>
    </row>
    <row r="31" spans="1:14" s="32" customFormat="1" ht="25.5">
      <c r="A31" s="32">
        <v>6</v>
      </c>
      <c r="B31" s="36">
        <v>10</v>
      </c>
      <c r="C31" s="49" t="s">
        <v>49</v>
      </c>
      <c r="D31" s="38" t="s">
        <v>17</v>
      </c>
      <c r="E31" s="39" t="s">
        <v>18</v>
      </c>
      <c r="F31" s="40">
        <v>2</v>
      </c>
      <c r="G31" s="50"/>
      <c r="H31" s="41">
        <f t="shared" si="8"/>
        <v>0</v>
      </c>
      <c r="I31" s="50">
        <v>38.5</v>
      </c>
      <c r="J31" s="33">
        <f t="shared" si="1"/>
        <v>77</v>
      </c>
      <c r="K31" s="34">
        <f t="shared" si="2"/>
        <v>77</v>
      </c>
      <c r="L31" s="94" t="e">
        <f t="shared" si="7"/>
        <v>#REF!</v>
      </c>
      <c r="M31" s="98" t="s">
        <v>66</v>
      </c>
      <c r="N31" s="35"/>
    </row>
    <row r="32" spans="1:14" s="32" customFormat="1" ht="25.5">
      <c r="A32" s="32">
        <v>7</v>
      </c>
      <c r="B32" s="36">
        <v>11</v>
      </c>
      <c r="C32" s="49" t="s">
        <v>50</v>
      </c>
      <c r="D32" s="38" t="s">
        <v>17</v>
      </c>
      <c r="E32" s="39" t="s">
        <v>18</v>
      </c>
      <c r="F32" s="40">
        <v>5</v>
      </c>
      <c r="G32" s="50"/>
      <c r="H32" s="41">
        <f t="shared" si="8"/>
        <v>0</v>
      </c>
      <c r="I32" s="33">
        <v>437.5</v>
      </c>
      <c r="J32" s="33">
        <f t="shared" si="1"/>
        <v>2187.5</v>
      </c>
      <c r="K32" s="34">
        <f t="shared" si="2"/>
        <v>2187.5</v>
      </c>
      <c r="L32" s="94" t="e">
        <f t="shared" si="7"/>
        <v>#REF!</v>
      </c>
      <c r="M32" s="98" t="s">
        <v>67</v>
      </c>
      <c r="N32" s="35"/>
    </row>
    <row r="33" spans="1:14" s="32" customFormat="1" ht="25.5">
      <c r="A33" s="32">
        <v>9</v>
      </c>
      <c r="B33" s="36">
        <v>13</v>
      </c>
      <c r="C33" s="49" t="s">
        <v>42</v>
      </c>
      <c r="D33" s="38" t="s">
        <v>17</v>
      </c>
      <c r="E33" s="39" t="s">
        <v>18</v>
      </c>
      <c r="F33" s="40">
        <v>6</v>
      </c>
      <c r="G33" s="50"/>
      <c r="H33" s="41">
        <f t="shared" si="8"/>
        <v>0</v>
      </c>
      <c r="I33" s="50"/>
      <c r="J33" s="33">
        <f t="shared" si="1"/>
        <v>0</v>
      </c>
      <c r="K33" s="34">
        <f t="shared" si="2"/>
        <v>0</v>
      </c>
      <c r="L33" s="94" t="e">
        <f>K33+#REF!</f>
        <v>#REF!</v>
      </c>
      <c r="M33" s="98"/>
      <c r="N33" s="35"/>
    </row>
    <row r="34" spans="1:14" s="32" customFormat="1" ht="25.5">
      <c r="A34" s="32">
        <v>11</v>
      </c>
      <c r="B34" s="36">
        <v>15</v>
      </c>
      <c r="C34" s="49" t="s">
        <v>43</v>
      </c>
      <c r="D34" s="38" t="s">
        <v>17</v>
      </c>
      <c r="E34" s="39" t="s">
        <v>19</v>
      </c>
      <c r="F34" s="40">
        <v>100</v>
      </c>
      <c r="G34" s="50"/>
      <c r="H34" s="41">
        <f t="shared" si="8"/>
        <v>0</v>
      </c>
      <c r="I34" s="50">
        <v>0.77</v>
      </c>
      <c r="J34" s="33">
        <f t="shared" si="1"/>
        <v>77</v>
      </c>
      <c r="K34" s="34">
        <f t="shared" si="2"/>
        <v>77</v>
      </c>
      <c r="L34" s="94" t="e">
        <f>K34+#REF!</f>
        <v>#REF!</v>
      </c>
      <c r="M34" s="98" t="s">
        <v>68</v>
      </c>
      <c r="N34" s="35"/>
    </row>
    <row r="35" spans="1:14" s="32" customFormat="1" ht="16.899999999999999" customHeight="1">
      <c r="B35" s="53"/>
      <c r="C35" s="54" t="s">
        <v>20</v>
      </c>
      <c r="D35" s="55"/>
      <c r="E35" s="55"/>
      <c r="F35" s="55"/>
      <c r="G35" s="55"/>
      <c r="H35" s="42">
        <f>SUM(H7:H34)</f>
        <v>0</v>
      </c>
      <c r="I35" s="55"/>
      <c r="J35" s="55">
        <f>SUM(J7:J34)</f>
        <v>13780.2</v>
      </c>
      <c r="K35" s="87">
        <f>+H35+J35</f>
        <v>13780.2</v>
      </c>
      <c r="L35" s="96"/>
      <c r="M35" s="98"/>
      <c r="N35" s="35"/>
    </row>
    <row r="36" spans="1:14" s="32" customFormat="1" ht="16.899999999999999" customHeight="1">
      <c r="B36" s="53"/>
      <c r="C36" s="56" t="s">
        <v>21</v>
      </c>
      <c r="D36" s="57" t="s">
        <v>22</v>
      </c>
      <c r="E36" s="55"/>
      <c r="F36" s="55"/>
      <c r="G36" s="55"/>
      <c r="H36" s="55"/>
      <c r="I36" s="55"/>
      <c r="J36" s="55"/>
      <c r="K36" s="87">
        <f>D36*K35</f>
        <v>2480.4360000000001</v>
      </c>
      <c r="L36" s="96"/>
      <c r="M36" s="98"/>
      <c r="N36" s="35"/>
    </row>
    <row r="37" spans="1:14" s="32" customFormat="1" ht="16.899999999999999" customHeight="1">
      <c r="B37" s="53"/>
      <c r="C37" s="54" t="s">
        <v>23</v>
      </c>
      <c r="D37" s="58"/>
      <c r="E37" s="55"/>
      <c r="F37" s="59"/>
      <c r="G37" s="55"/>
      <c r="H37" s="55"/>
      <c r="I37" s="55"/>
      <c r="J37" s="55"/>
      <c r="K37" s="87">
        <f>SUM(K35:L36)</f>
        <v>16260.636</v>
      </c>
      <c r="L37" s="96"/>
      <c r="M37" s="98"/>
      <c r="N37" s="35"/>
    </row>
    <row r="38" spans="1:14" s="32" customFormat="1" ht="16.899999999999999" customHeight="1">
      <c r="B38" s="60"/>
      <c r="C38" s="84"/>
      <c r="D38" s="84"/>
      <c r="E38" s="84"/>
      <c r="F38" s="61"/>
      <c r="G38" s="62"/>
      <c r="H38" s="62"/>
      <c r="I38" s="62"/>
      <c r="J38" s="85"/>
      <c r="K38" s="85"/>
      <c r="L38" s="85"/>
      <c r="M38" s="90"/>
      <c r="N38" s="35"/>
    </row>
    <row r="39" spans="1:14" s="32" customFormat="1" ht="16.899999999999999" customHeight="1">
      <c r="B39" s="63"/>
      <c r="C39" s="64" t="s">
        <v>24</v>
      </c>
      <c r="D39" s="65"/>
      <c r="E39" s="65"/>
      <c r="F39" s="61"/>
      <c r="G39" s="61"/>
      <c r="H39" s="61"/>
      <c r="I39" s="61"/>
      <c r="J39" s="61"/>
      <c r="K39" s="66"/>
      <c r="L39" s="67"/>
      <c r="M39" s="67"/>
      <c r="N39" s="35"/>
    </row>
    <row r="40" spans="1:14" s="32" customFormat="1" ht="16.899999999999999" customHeight="1">
      <c r="B40" s="63"/>
      <c r="C40" s="64"/>
      <c r="D40" s="65"/>
      <c r="E40" s="65"/>
      <c r="F40" s="61"/>
      <c r="G40" s="61"/>
      <c r="H40" s="61"/>
      <c r="I40" s="61"/>
      <c r="J40" s="61"/>
      <c r="K40" s="66"/>
      <c r="L40" s="67"/>
      <c r="M40" s="67"/>
      <c r="N40" s="35"/>
    </row>
    <row r="41" spans="1:14" s="32" customFormat="1" ht="12.75">
      <c r="B41" s="63"/>
      <c r="C41" s="64"/>
      <c r="D41" s="65"/>
      <c r="E41" s="65"/>
      <c r="F41" s="61"/>
      <c r="G41" s="61"/>
      <c r="H41" s="61"/>
      <c r="I41" s="61"/>
      <c r="J41" s="61"/>
      <c r="K41" s="66"/>
      <c r="L41" s="67"/>
      <c r="M41" s="67"/>
      <c r="N41" s="35"/>
    </row>
    <row r="42" spans="1:14" s="32" customFormat="1" ht="12.75">
      <c r="B42" s="63"/>
      <c r="C42" s="64"/>
      <c r="D42" s="65"/>
      <c r="E42" s="65"/>
      <c r="F42" s="61"/>
      <c r="G42" s="61"/>
      <c r="H42" s="61"/>
      <c r="I42" s="61"/>
      <c r="J42" s="61"/>
      <c r="K42" s="66"/>
      <c r="L42" s="67"/>
      <c r="M42" s="67"/>
      <c r="N42" s="35"/>
    </row>
    <row r="43" spans="1:14" s="32" customFormat="1" ht="12.75">
      <c r="B43" s="63"/>
      <c r="C43" s="64"/>
      <c r="D43" s="65"/>
      <c r="E43" s="65"/>
      <c r="F43" s="61"/>
      <c r="G43" s="61"/>
      <c r="H43" s="61"/>
      <c r="I43" s="61"/>
      <c r="J43" s="61"/>
      <c r="K43" s="66"/>
      <c r="L43" s="67"/>
      <c r="M43" s="67"/>
      <c r="N43" s="35"/>
    </row>
    <row r="44" spans="1:14" s="32" customFormat="1" ht="12.75">
      <c r="B44" s="63"/>
      <c r="C44" s="64"/>
      <c r="D44" s="65"/>
      <c r="E44" s="65"/>
      <c r="F44" s="61"/>
      <c r="G44" s="61"/>
      <c r="H44" s="61"/>
      <c r="I44" s="61"/>
      <c r="J44" s="61"/>
      <c r="K44" s="66"/>
      <c r="L44" s="67"/>
      <c r="M44" s="67"/>
      <c r="N44" s="35"/>
    </row>
    <row r="45" spans="1:14" s="32" customFormat="1" ht="12.75">
      <c r="B45" s="63"/>
      <c r="C45" s="64"/>
      <c r="D45" s="65"/>
      <c r="E45" s="65"/>
      <c r="F45" s="61"/>
      <c r="G45" s="61"/>
      <c r="H45" s="61"/>
      <c r="I45" s="61"/>
      <c r="J45" s="61"/>
      <c r="K45" s="66"/>
      <c r="L45" s="67"/>
      <c r="M45" s="67"/>
      <c r="N45" s="35"/>
    </row>
    <row r="46" spans="1:14" s="32" customFormat="1" ht="12.75">
      <c r="B46" s="63"/>
      <c r="C46" s="64"/>
      <c r="D46" s="65"/>
      <c r="E46" s="65"/>
      <c r="F46" s="61"/>
      <c r="G46" s="61"/>
      <c r="H46" s="61"/>
      <c r="I46" s="61"/>
      <c r="J46" s="61"/>
      <c r="K46" s="66"/>
      <c r="L46" s="67"/>
      <c r="M46" s="67"/>
      <c r="N46" s="35"/>
    </row>
    <row r="47" spans="1:14" s="32" customFormat="1" ht="12.75">
      <c r="B47" s="63"/>
      <c r="C47" s="64"/>
      <c r="D47" s="65"/>
      <c r="E47" s="65"/>
      <c r="F47" s="61"/>
      <c r="G47" s="61"/>
      <c r="H47" s="61"/>
      <c r="I47" s="61"/>
      <c r="J47" s="61"/>
      <c r="K47" s="66"/>
      <c r="L47" s="67"/>
      <c r="M47" s="67"/>
      <c r="N47" s="35"/>
    </row>
    <row r="48" spans="1:14" s="32" customFormat="1" ht="12.75">
      <c r="B48" s="63"/>
      <c r="C48" s="64"/>
      <c r="D48" s="65"/>
      <c r="E48" s="65"/>
      <c r="F48" s="61"/>
      <c r="G48" s="61"/>
      <c r="H48" s="61"/>
      <c r="I48" s="61"/>
      <c r="J48" s="61"/>
      <c r="K48" s="66"/>
      <c r="L48" s="67"/>
      <c r="M48" s="67"/>
      <c r="N48" s="35"/>
    </row>
    <row r="49" spans="2:14" s="32" customFormat="1" ht="12.75">
      <c r="B49" s="63"/>
      <c r="C49" s="64"/>
      <c r="D49" s="65"/>
      <c r="E49" s="65"/>
      <c r="F49" s="61"/>
      <c r="G49" s="61"/>
      <c r="H49" s="61"/>
      <c r="I49" s="61"/>
      <c r="J49" s="61"/>
      <c r="K49" s="66"/>
      <c r="L49" s="67"/>
      <c r="M49" s="67"/>
      <c r="N49" s="35"/>
    </row>
    <row r="50" spans="2:14" s="32" customFormat="1" ht="12.75">
      <c r="B50" s="63"/>
      <c r="C50" s="64"/>
      <c r="D50" s="65"/>
      <c r="E50" s="65"/>
      <c r="F50" s="61"/>
      <c r="G50" s="61"/>
      <c r="H50" s="61"/>
      <c r="I50" s="61"/>
      <c r="J50" s="61"/>
      <c r="K50" s="66"/>
      <c r="L50" s="67"/>
      <c r="M50" s="67"/>
      <c r="N50" s="35"/>
    </row>
    <row r="51" spans="2:14" s="32" customFormat="1" ht="12.75">
      <c r="B51" s="63"/>
      <c r="C51" s="64"/>
      <c r="D51" s="65"/>
      <c r="E51" s="65"/>
      <c r="F51" s="61"/>
      <c r="G51" s="61"/>
      <c r="H51" s="61"/>
      <c r="I51" s="61"/>
      <c r="J51" s="61"/>
      <c r="K51" s="66"/>
      <c r="L51" s="67"/>
      <c r="M51" s="67"/>
      <c r="N51" s="35"/>
    </row>
    <row r="52" spans="2:14" s="32" customFormat="1" ht="12.75">
      <c r="B52" s="63"/>
      <c r="C52" s="64"/>
      <c r="D52" s="65"/>
      <c r="E52" s="65"/>
      <c r="F52" s="61"/>
      <c r="G52" s="61"/>
      <c r="H52" s="61"/>
      <c r="I52" s="61"/>
      <c r="J52" s="61"/>
      <c r="K52" s="66"/>
      <c r="L52" s="67"/>
      <c r="M52" s="67"/>
      <c r="N52" s="35"/>
    </row>
    <row r="53" spans="2:14" s="32" customFormat="1" ht="12.75">
      <c r="B53" s="63"/>
      <c r="C53" s="64"/>
      <c r="D53" s="65"/>
      <c r="E53" s="65"/>
      <c r="F53" s="61"/>
      <c r="G53" s="61"/>
      <c r="H53" s="61"/>
      <c r="I53" s="61"/>
      <c r="J53" s="61"/>
      <c r="K53" s="66"/>
      <c r="L53" s="67"/>
      <c r="M53" s="67"/>
      <c r="N53" s="35"/>
    </row>
    <row r="54" spans="2:14" s="32" customFormat="1" ht="12.75">
      <c r="B54" s="63"/>
      <c r="C54" s="64"/>
      <c r="D54" s="65"/>
      <c r="E54" s="65"/>
      <c r="F54" s="61"/>
      <c r="G54" s="61"/>
      <c r="H54" s="61"/>
      <c r="I54" s="61"/>
      <c r="J54" s="61"/>
      <c r="K54" s="66"/>
      <c r="L54" s="67"/>
      <c r="M54" s="67"/>
      <c r="N54" s="35"/>
    </row>
    <row r="55" spans="2:14" s="32" customFormat="1" ht="12.75">
      <c r="B55" s="63"/>
      <c r="C55" s="64"/>
      <c r="D55" s="65"/>
      <c r="E55" s="65"/>
      <c r="F55" s="61"/>
      <c r="G55" s="61"/>
      <c r="H55" s="61"/>
      <c r="I55" s="61"/>
      <c r="J55" s="61"/>
      <c r="K55" s="66"/>
      <c r="L55" s="67"/>
      <c r="M55" s="67"/>
      <c r="N55" s="35"/>
    </row>
    <row r="56" spans="2:14" s="32" customFormat="1" ht="11.45" customHeight="1">
      <c r="B56" s="63"/>
      <c r="C56" s="64"/>
      <c r="D56" s="65"/>
      <c r="E56" s="65"/>
      <c r="F56" s="61"/>
      <c r="G56" s="61"/>
      <c r="H56" s="61"/>
      <c r="I56" s="61"/>
      <c r="J56" s="61"/>
      <c r="K56" s="66"/>
      <c r="L56" s="67"/>
      <c r="M56" s="67"/>
      <c r="N56" s="35"/>
    </row>
    <row r="57" spans="2:14" s="32" customFormat="1" ht="12.75">
      <c r="B57" s="63"/>
      <c r="C57" s="64"/>
      <c r="D57" s="65"/>
      <c r="E57" s="65"/>
      <c r="F57" s="61"/>
      <c r="G57" s="61"/>
      <c r="H57" s="61"/>
      <c r="I57" s="61"/>
      <c r="J57" s="61"/>
      <c r="K57" s="66"/>
      <c r="L57" s="67"/>
      <c r="M57" s="67"/>
      <c r="N57" s="35"/>
    </row>
    <row r="58" spans="2:14" s="32" customFormat="1" ht="12.75">
      <c r="B58" s="63"/>
      <c r="C58" s="64"/>
      <c r="D58" s="65"/>
      <c r="E58" s="65"/>
      <c r="F58" s="61"/>
      <c r="G58" s="61"/>
      <c r="H58" s="61"/>
      <c r="I58" s="61"/>
      <c r="J58" s="61"/>
      <c r="K58" s="66"/>
      <c r="L58" s="67"/>
      <c r="M58" s="67"/>
      <c r="N58" s="35"/>
    </row>
    <row r="59" spans="2:14" s="32" customFormat="1" ht="12.75">
      <c r="B59" s="63"/>
      <c r="C59" s="64"/>
      <c r="D59" s="65"/>
      <c r="E59" s="65"/>
      <c r="F59" s="61"/>
      <c r="G59" s="61"/>
      <c r="H59" s="61"/>
      <c r="I59" s="61"/>
      <c r="J59" s="61"/>
      <c r="K59" s="66"/>
      <c r="L59" s="67"/>
      <c r="M59" s="67"/>
      <c r="N59" s="35"/>
    </row>
    <row r="60" spans="2:14" s="32" customFormat="1" ht="12.75">
      <c r="B60" s="63"/>
      <c r="C60" s="64"/>
      <c r="D60" s="65"/>
      <c r="E60" s="65"/>
      <c r="F60" s="61"/>
      <c r="G60" s="61"/>
      <c r="H60" s="61"/>
      <c r="I60" s="61"/>
      <c r="J60" s="61"/>
      <c r="K60" s="66"/>
      <c r="L60" s="67"/>
      <c r="M60" s="67"/>
      <c r="N60" s="35"/>
    </row>
    <row r="61" spans="2:14" s="32" customFormat="1" ht="12.75">
      <c r="B61" s="63"/>
      <c r="C61" s="64"/>
      <c r="D61" s="65"/>
      <c r="E61" s="65"/>
      <c r="F61" s="61"/>
      <c r="G61" s="61"/>
      <c r="H61" s="61"/>
      <c r="I61" s="61"/>
      <c r="J61" s="61"/>
      <c r="K61" s="66"/>
      <c r="L61" s="67"/>
      <c r="M61" s="67"/>
      <c r="N61" s="35"/>
    </row>
    <row r="62" spans="2:14" s="32" customFormat="1" ht="12.75">
      <c r="B62" s="63"/>
      <c r="C62" s="64"/>
      <c r="D62" s="65"/>
      <c r="E62" s="65"/>
      <c r="F62" s="61"/>
      <c r="G62" s="61"/>
      <c r="H62" s="61"/>
      <c r="I62" s="61"/>
      <c r="J62" s="61"/>
      <c r="K62" s="66"/>
      <c r="L62" s="67"/>
      <c r="M62" s="67"/>
      <c r="N62" s="35"/>
    </row>
    <row r="63" spans="2:14" s="32" customFormat="1" ht="12.75">
      <c r="B63" s="63"/>
      <c r="C63" s="64"/>
      <c r="D63" s="65"/>
      <c r="E63" s="65"/>
      <c r="F63" s="61"/>
      <c r="G63" s="61"/>
      <c r="H63" s="61"/>
      <c r="I63" s="61"/>
      <c r="J63" s="61"/>
      <c r="K63" s="66"/>
      <c r="L63" s="67"/>
      <c r="M63" s="67"/>
      <c r="N63" s="35"/>
    </row>
    <row r="64" spans="2:14" s="32" customFormat="1" ht="12.75">
      <c r="B64" s="63"/>
      <c r="C64" s="64"/>
      <c r="D64" s="65"/>
      <c r="E64" s="65"/>
      <c r="F64" s="61"/>
      <c r="G64" s="61"/>
      <c r="H64" s="61"/>
      <c r="I64" s="61"/>
      <c r="J64" s="61"/>
      <c r="K64" s="66"/>
      <c r="L64" s="67"/>
      <c r="M64" s="67"/>
      <c r="N64" s="35"/>
    </row>
    <row r="65" spans="2:14" s="32" customFormat="1" ht="12.75">
      <c r="B65" s="63"/>
      <c r="C65" s="64"/>
      <c r="D65" s="65"/>
      <c r="E65" s="65"/>
      <c r="F65" s="61"/>
      <c r="G65" s="61"/>
      <c r="H65" s="61"/>
      <c r="I65" s="61"/>
      <c r="J65" s="61"/>
      <c r="K65" s="66"/>
      <c r="L65" s="67"/>
      <c r="M65" s="67"/>
      <c r="N65" s="35"/>
    </row>
    <row r="66" spans="2:14" s="32" customFormat="1" ht="12.75">
      <c r="B66" s="63"/>
      <c r="C66" s="64"/>
      <c r="D66" s="65"/>
      <c r="E66" s="65"/>
      <c r="F66" s="61"/>
      <c r="G66" s="61"/>
      <c r="H66" s="61"/>
      <c r="I66" s="61"/>
      <c r="J66" s="61"/>
      <c r="K66" s="66"/>
      <c r="L66" s="67"/>
      <c r="M66" s="67"/>
      <c r="N66" s="35"/>
    </row>
    <row r="67" spans="2:14" s="32" customFormat="1" ht="12.75">
      <c r="B67" s="63"/>
      <c r="C67" s="64"/>
      <c r="D67" s="65"/>
      <c r="E67" s="65"/>
      <c r="F67" s="61"/>
      <c r="G67" s="61"/>
      <c r="H67" s="61"/>
      <c r="I67" s="61"/>
      <c r="J67" s="61"/>
      <c r="K67" s="66"/>
      <c r="L67" s="67"/>
      <c r="M67" s="67"/>
      <c r="N67" s="35"/>
    </row>
    <row r="68" spans="2:14" s="32" customFormat="1" ht="12.75">
      <c r="B68" s="63"/>
      <c r="C68" s="64"/>
      <c r="D68" s="65"/>
      <c r="E68" s="65"/>
      <c r="F68" s="61"/>
      <c r="G68" s="61"/>
      <c r="H68" s="61"/>
      <c r="I68" s="61"/>
      <c r="J68" s="61"/>
      <c r="K68" s="66"/>
      <c r="L68" s="67"/>
      <c r="M68" s="67"/>
      <c r="N68" s="35"/>
    </row>
    <row r="69" spans="2:14" s="32" customFormat="1" ht="12.75">
      <c r="B69" s="63"/>
      <c r="C69" s="64"/>
      <c r="D69" s="65"/>
      <c r="E69" s="65"/>
      <c r="F69" s="61"/>
      <c r="G69" s="61"/>
      <c r="H69" s="61"/>
      <c r="I69" s="61"/>
      <c r="J69" s="61"/>
      <c r="K69" s="66"/>
      <c r="L69" s="67"/>
      <c r="M69" s="67"/>
      <c r="N69" s="35"/>
    </row>
    <row r="70" spans="2:14" s="32" customFormat="1" ht="12.75">
      <c r="B70" s="63"/>
      <c r="C70" s="64"/>
      <c r="D70" s="65"/>
      <c r="E70" s="65"/>
      <c r="F70" s="61"/>
      <c r="G70" s="61"/>
      <c r="H70" s="61"/>
      <c r="I70" s="61"/>
      <c r="J70" s="61"/>
      <c r="K70" s="66"/>
      <c r="L70" s="67"/>
      <c r="M70" s="67"/>
      <c r="N70" s="35"/>
    </row>
    <row r="71" spans="2:14" s="32" customFormat="1" ht="12.75">
      <c r="B71" s="63"/>
      <c r="C71" s="64"/>
      <c r="D71" s="65"/>
      <c r="E71" s="65"/>
      <c r="F71" s="61"/>
      <c r="G71" s="61"/>
      <c r="H71" s="61"/>
      <c r="I71" s="61"/>
      <c r="J71" s="61"/>
      <c r="K71" s="66"/>
      <c r="L71" s="67"/>
      <c r="M71" s="67"/>
      <c r="N71" s="35"/>
    </row>
    <row r="72" spans="2:14" s="32" customFormat="1" ht="12.75">
      <c r="B72" s="63"/>
      <c r="C72" s="64"/>
      <c r="D72" s="65"/>
      <c r="E72" s="65"/>
      <c r="F72" s="61"/>
      <c r="G72" s="61"/>
      <c r="H72" s="61"/>
      <c r="I72" s="61"/>
      <c r="J72" s="61"/>
      <c r="K72" s="66"/>
      <c r="L72" s="67"/>
      <c r="M72" s="67"/>
      <c r="N72" s="35"/>
    </row>
    <row r="73" spans="2:14" s="32" customFormat="1" ht="12.75">
      <c r="B73" s="63"/>
      <c r="C73" s="64"/>
      <c r="D73" s="65"/>
      <c r="E73" s="65"/>
      <c r="F73" s="61"/>
      <c r="G73" s="61"/>
      <c r="H73" s="61"/>
      <c r="I73" s="61"/>
      <c r="J73" s="61"/>
      <c r="K73" s="66"/>
      <c r="L73" s="67"/>
      <c r="M73" s="67"/>
      <c r="N73" s="35"/>
    </row>
    <row r="74" spans="2:14" s="32" customFormat="1" ht="12.75">
      <c r="B74" s="63"/>
      <c r="C74" s="64"/>
      <c r="D74" s="65"/>
      <c r="E74" s="65"/>
      <c r="F74" s="61"/>
      <c r="G74" s="61"/>
      <c r="H74" s="61"/>
      <c r="I74" s="61"/>
      <c r="J74" s="61"/>
      <c r="K74" s="66"/>
      <c r="L74" s="67"/>
      <c r="M74" s="67"/>
      <c r="N74" s="35"/>
    </row>
    <row r="75" spans="2:14" s="32" customFormat="1" ht="12.75">
      <c r="B75" s="63"/>
      <c r="C75" s="64"/>
      <c r="D75" s="65"/>
      <c r="E75" s="65"/>
      <c r="F75" s="61"/>
      <c r="G75" s="61"/>
      <c r="H75" s="61"/>
      <c r="I75" s="61"/>
      <c r="J75" s="61"/>
      <c r="K75" s="66"/>
      <c r="L75" s="67"/>
      <c r="M75" s="67"/>
      <c r="N75" s="35"/>
    </row>
    <row r="76" spans="2:14" s="32" customFormat="1" ht="12.75">
      <c r="B76" s="63"/>
      <c r="C76" s="64"/>
      <c r="D76" s="65"/>
      <c r="E76" s="65"/>
      <c r="F76" s="61"/>
      <c r="G76" s="61"/>
      <c r="H76" s="61"/>
      <c r="I76" s="61"/>
      <c r="J76" s="61"/>
      <c r="K76" s="66"/>
      <c r="L76" s="67"/>
      <c r="M76" s="67"/>
      <c r="N76" s="35"/>
    </row>
    <row r="77" spans="2:14" s="32" customFormat="1" ht="12.75">
      <c r="B77" s="63"/>
      <c r="C77" s="64"/>
      <c r="D77" s="65"/>
      <c r="E77" s="65"/>
      <c r="F77" s="61"/>
      <c r="G77" s="61"/>
      <c r="H77" s="61"/>
      <c r="I77" s="61"/>
      <c r="J77" s="61"/>
      <c r="K77" s="66"/>
      <c r="L77" s="67"/>
      <c r="M77" s="67"/>
      <c r="N77" s="35"/>
    </row>
    <row r="78" spans="2:14" s="32" customFormat="1" ht="12.75">
      <c r="B78" s="63"/>
      <c r="C78" s="64"/>
      <c r="D78" s="65"/>
      <c r="E78" s="65"/>
      <c r="F78" s="61"/>
      <c r="G78" s="61"/>
      <c r="H78" s="61"/>
      <c r="I78" s="61"/>
      <c r="J78" s="61"/>
      <c r="K78" s="66"/>
      <c r="L78" s="67"/>
      <c r="M78" s="67"/>
      <c r="N78" s="35"/>
    </row>
    <row r="79" spans="2:14" s="32" customFormat="1" ht="12.75">
      <c r="B79" s="63"/>
      <c r="C79" s="64"/>
      <c r="D79" s="65"/>
      <c r="E79" s="65"/>
      <c r="F79" s="61"/>
      <c r="G79" s="61"/>
      <c r="H79" s="61"/>
      <c r="I79" s="61"/>
      <c r="J79" s="61"/>
      <c r="K79" s="66"/>
      <c r="L79" s="67"/>
      <c r="M79" s="67"/>
      <c r="N79" s="35"/>
    </row>
    <row r="80" spans="2:14" s="32" customFormat="1" ht="12.75">
      <c r="B80" s="63"/>
      <c r="C80" s="64"/>
      <c r="D80" s="65"/>
      <c r="E80" s="65"/>
      <c r="F80" s="61"/>
      <c r="G80" s="61"/>
      <c r="H80" s="61"/>
      <c r="I80" s="61"/>
      <c r="J80" s="61"/>
      <c r="K80" s="66"/>
      <c r="L80" s="67"/>
      <c r="M80" s="67"/>
      <c r="N80" s="35"/>
    </row>
    <row r="81" spans="2:14" s="32" customFormat="1" ht="12.75">
      <c r="B81" s="63"/>
      <c r="C81" s="64"/>
      <c r="D81" s="65"/>
      <c r="E81" s="65"/>
      <c r="F81" s="61"/>
      <c r="G81" s="61"/>
      <c r="H81" s="61"/>
      <c r="I81" s="61"/>
      <c r="J81" s="61"/>
      <c r="K81" s="66"/>
      <c r="L81" s="67"/>
      <c r="M81" s="67"/>
      <c r="N81" s="35"/>
    </row>
    <row r="82" spans="2:14" s="32" customFormat="1" ht="12.75">
      <c r="B82" s="63"/>
      <c r="C82" s="64"/>
      <c r="D82" s="65"/>
      <c r="E82" s="65"/>
      <c r="F82" s="61"/>
      <c r="G82" s="61"/>
      <c r="H82" s="61"/>
      <c r="I82" s="61"/>
      <c r="J82" s="61"/>
      <c r="K82" s="66"/>
      <c r="L82" s="67"/>
      <c r="M82" s="67"/>
      <c r="N82" s="35"/>
    </row>
    <row r="83" spans="2:14" s="32" customFormat="1" ht="12.75">
      <c r="B83" s="63"/>
      <c r="C83" s="64"/>
      <c r="D83" s="65"/>
      <c r="E83" s="65"/>
      <c r="F83" s="61"/>
      <c r="G83" s="61"/>
      <c r="H83" s="61"/>
      <c r="I83" s="61"/>
      <c r="J83" s="61"/>
      <c r="K83" s="66"/>
      <c r="L83" s="67"/>
      <c r="M83" s="67"/>
      <c r="N83" s="35"/>
    </row>
    <row r="84" spans="2:14" s="32" customFormat="1" ht="12.75">
      <c r="B84" s="63"/>
      <c r="C84" s="64"/>
      <c r="D84" s="65"/>
      <c r="E84" s="65"/>
      <c r="F84" s="61"/>
      <c r="G84" s="61"/>
      <c r="H84" s="61"/>
      <c r="I84" s="61"/>
      <c r="J84" s="61"/>
      <c r="K84" s="66"/>
      <c r="L84" s="67"/>
      <c r="M84" s="67"/>
      <c r="N84" s="35"/>
    </row>
    <row r="85" spans="2:14" s="32" customFormat="1" ht="12.75">
      <c r="B85" s="63"/>
      <c r="C85" s="64"/>
      <c r="D85" s="65"/>
      <c r="E85" s="65"/>
      <c r="F85" s="61"/>
      <c r="G85" s="61"/>
      <c r="H85" s="61"/>
      <c r="I85" s="61"/>
      <c r="J85" s="61"/>
      <c r="K85" s="66"/>
      <c r="L85" s="67"/>
      <c r="M85" s="67"/>
      <c r="N85" s="35"/>
    </row>
    <row r="86" spans="2:14" s="32" customFormat="1" ht="18.600000000000001" customHeight="1">
      <c r="B86" s="63"/>
      <c r="C86" s="64"/>
      <c r="D86" s="65"/>
      <c r="E86" s="65"/>
      <c r="F86" s="61"/>
      <c r="G86" s="61"/>
      <c r="H86" s="61"/>
      <c r="I86" s="61"/>
      <c r="J86" s="61"/>
      <c r="K86" s="66"/>
      <c r="L86" s="67"/>
      <c r="M86" s="67"/>
      <c r="N86" s="35"/>
    </row>
    <row r="87" spans="2:14" s="32" customFormat="1" ht="12.75">
      <c r="B87" s="63"/>
      <c r="C87" s="64"/>
      <c r="D87" s="65"/>
      <c r="E87" s="65"/>
      <c r="F87" s="61"/>
      <c r="G87" s="61"/>
      <c r="H87" s="61"/>
      <c r="I87" s="61"/>
      <c r="J87" s="61"/>
      <c r="K87" s="66"/>
      <c r="L87" s="67"/>
      <c r="M87" s="67"/>
      <c r="N87" s="35"/>
    </row>
    <row r="88" spans="2:14" s="32" customFormat="1" ht="12.75">
      <c r="B88" s="63"/>
      <c r="C88" s="64"/>
      <c r="D88" s="65"/>
      <c r="E88" s="65"/>
      <c r="F88" s="61"/>
      <c r="G88" s="61"/>
      <c r="H88" s="61"/>
      <c r="I88" s="61"/>
      <c r="J88" s="61"/>
      <c r="K88" s="66"/>
      <c r="L88" s="67"/>
      <c r="M88" s="67"/>
      <c r="N88" s="35"/>
    </row>
    <row r="89" spans="2:14" s="32" customFormat="1" ht="12.75">
      <c r="B89" s="63"/>
      <c r="C89" s="64"/>
      <c r="D89" s="65"/>
      <c r="E89" s="65"/>
      <c r="F89" s="61"/>
      <c r="G89" s="61"/>
      <c r="H89" s="61"/>
      <c r="I89" s="61"/>
      <c r="J89" s="61"/>
      <c r="K89" s="66"/>
      <c r="L89" s="67"/>
      <c r="M89" s="67"/>
      <c r="N89" s="35"/>
    </row>
    <row r="90" spans="2:14" s="32" customFormat="1" ht="12.75">
      <c r="B90" s="63"/>
      <c r="C90" s="64"/>
      <c r="D90" s="65"/>
      <c r="E90" s="65"/>
      <c r="F90" s="61"/>
      <c r="G90" s="61"/>
      <c r="H90" s="61"/>
      <c r="I90" s="61"/>
      <c r="J90" s="61"/>
      <c r="K90" s="66"/>
      <c r="L90" s="67"/>
      <c r="M90" s="67"/>
      <c r="N90" s="35"/>
    </row>
    <row r="91" spans="2:14" s="32" customFormat="1" ht="12.75">
      <c r="B91" s="63"/>
      <c r="C91" s="64"/>
      <c r="D91" s="65"/>
      <c r="E91" s="65"/>
      <c r="F91" s="61"/>
      <c r="G91" s="61"/>
      <c r="H91" s="61"/>
      <c r="I91" s="61"/>
      <c r="J91" s="61"/>
      <c r="K91" s="66"/>
      <c r="L91" s="67"/>
      <c r="M91" s="67"/>
      <c r="N91" s="35"/>
    </row>
    <row r="92" spans="2:14" s="32" customFormat="1" ht="12.75">
      <c r="B92" s="63"/>
      <c r="C92" s="64"/>
      <c r="D92" s="65"/>
      <c r="E92" s="65"/>
      <c r="F92" s="61"/>
      <c r="G92" s="61"/>
      <c r="H92" s="61"/>
      <c r="I92" s="61"/>
      <c r="J92" s="61"/>
      <c r="K92" s="66"/>
      <c r="L92" s="67"/>
      <c r="M92" s="67"/>
      <c r="N92" s="35"/>
    </row>
    <row r="93" spans="2:14" s="32" customFormat="1" ht="12.75">
      <c r="B93" s="63"/>
      <c r="C93" s="64"/>
      <c r="D93" s="65"/>
      <c r="E93" s="65"/>
      <c r="F93" s="61"/>
      <c r="G93" s="61"/>
      <c r="H93" s="61"/>
      <c r="I93" s="61"/>
      <c r="J93" s="61"/>
      <c r="K93" s="66"/>
      <c r="L93" s="67"/>
      <c r="M93" s="67"/>
      <c r="N93" s="35"/>
    </row>
    <row r="94" spans="2:14" s="32" customFormat="1" ht="12.75">
      <c r="B94" s="63"/>
      <c r="C94" s="64"/>
      <c r="D94" s="65"/>
      <c r="E94" s="65"/>
      <c r="F94" s="61"/>
      <c r="G94" s="61"/>
      <c r="H94" s="61"/>
      <c r="I94" s="61"/>
      <c r="J94" s="61"/>
      <c r="K94" s="66"/>
      <c r="L94" s="67"/>
      <c r="M94" s="67"/>
      <c r="N94" s="35"/>
    </row>
    <row r="95" spans="2:14" s="32" customFormat="1" ht="12.75">
      <c r="B95" s="63"/>
      <c r="C95" s="64"/>
      <c r="D95" s="65"/>
      <c r="E95" s="65"/>
      <c r="F95" s="61"/>
      <c r="G95" s="61"/>
      <c r="H95" s="61"/>
      <c r="I95" s="61"/>
      <c r="J95" s="61"/>
      <c r="K95" s="66"/>
      <c r="L95" s="67"/>
      <c r="M95" s="67"/>
      <c r="N95" s="35"/>
    </row>
    <row r="96" spans="2:14" s="32" customFormat="1" ht="12.75">
      <c r="B96" s="63"/>
      <c r="C96" s="64"/>
      <c r="D96" s="65"/>
      <c r="E96" s="65"/>
      <c r="F96" s="61"/>
      <c r="G96" s="61"/>
      <c r="H96" s="61"/>
      <c r="I96" s="61"/>
      <c r="J96" s="61"/>
      <c r="K96" s="66"/>
      <c r="L96" s="67"/>
      <c r="M96" s="67"/>
      <c r="N96" s="35"/>
    </row>
    <row r="97" spans="2:14" s="32" customFormat="1" ht="12.75">
      <c r="B97" s="63"/>
      <c r="C97" s="64"/>
      <c r="D97" s="65"/>
      <c r="E97" s="65"/>
      <c r="F97" s="61"/>
      <c r="G97" s="61"/>
      <c r="H97" s="61"/>
      <c r="I97" s="61"/>
      <c r="J97" s="61"/>
      <c r="K97" s="66"/>
      <c r="L97" s="67"/>
      <c r="M97" s="67"/>
      <c r="N97" s="35"/>
    </row>
    <row r="98" spans="2:14" s="32" customFormat="1" ht="12.75">
      <c r="B98" s="63"/>
      <c r="C98" s="64"/>
      <c r="D98" s="65"/>
      <c r="E98" s="65"/>
      <c r="F98" s="61"/>
      <c r="G98" s="61"/>
      <c r="H98" s="61"/>
      <c r="I98" s="61"/>
      <c r="J98" s="61"/>
      <c r="K98" s="66"/>
      <c r="L98" s="67"/>
      <c r="M98" s="67"/>
      <c r="N98" s="35"/>
    </row>
    <row r="99" spans="2:14" s="32" customFormat="1" ht="12.75">
      <c r="B99" s="63"/>
      <c r="C99" s="64"/>
      <c r="D99" s="65"/>
      <c r="E99" s="65"/>
      <c r="F99" s="61"/>
      <c r="G99" s="61"/>
      <c r="H99" s="61"/>
      <c r="I99" s="61"/>
      <c r="J99" s="61"/>
      <c r="K99" s="66"/>
      <c r="L99" s="67"/>
      <c r="M99" s="67"/>
      <c r="N99" s="35"/>
    </row>
    <row r="100" spans="2:14" s="32" customFormat="1" ht="12.75">
      <c r="B100" s="63"/>
      <c r="C100" s="64"/>
      <c r="D100" s="65"/>
      <c r="E100" s="65"/>
      <c r="F100" s="61"/>
      <c r="G100" s="61"/>
      <c r="H100" s="61"/>
      <c r="I100" s="61"/>
      <c r="J100" s="61"/>
      <c r="K100" s="66"/>
      <c r="L100" s="67"/>
      <c r="M100" s="67"/>
      <c r="N100" s="35"/>
    </row>
    <row r="101" spans="2:14" s="32" customFormat="1" ht="12.75">
      <c r="B101" s="63"/>
      <c r="C101" s="64"/>
      <c r="D101" s="65"/>
      <c r="E101" s="65"/>
      <c r="F101" s="61"/>
      <c r="G101" s="61"/>
      <c r="H101" s="61"/>
      <c r="I101" s="61"/>
      <c r="J101" s="61"/>
      <c r="K101" s="66"/>
      <c r="L101" s="67"/>
      <c r="M101" s="67"/>
      <c r="N101" s="35"/>
    </row>
    <row r="102" spans="2:14" s="32" customFormat="1" ht="12.75">
      <c r="B102" s="63"/>
      <c r="C102" s="64"/>
      <c r="D102" s="65"/>
      <c r="E102" s="65"/>
      <c r="F102" s="61"/>
      <c r="G102" s="61"/>
      <c r="H102" s="61"/>
      <c r="I102" s="61"/>
      <c r="J102" s="61"/>
      <c r="K102" s="66"/>
      <c r="L102" s="67"/>
      <c r="M102" s="67"/>
      <c r="N102" s="35"/>
    </row>
    <row r="103" spans="2:14" s="32" customFormat="1" ht="12.75">
      <c r="B103" s="63"/>
      <c r="C103" s="64"/>
      <c r="D103" s="65"/>
      <c r="E103" s="65"/>
      <c r="F103" s="61"/>
      <c r="G103" s="61"/>
      <c r="H103" s="61"/>
      <c r="I103" s="61"/>
      <c r="J103" s="61"/>
      <c r="K103" s="66"/>
      <c r="L103" s="67"/>
      <c r="M103" s="67"/>
      <c r="N103" s="35"/>
    </row>
    <row r="104" spans="2:14" s="32" customFormat="1" ht="12.75">
      <c r="B104" s="63"/>
      <c r="C104" s="64"/>
      <c r="D104" s="65"/>
      <c r="E104" s="65"/>
      <c r="F104" s="61"/>
      <c r="G104" s="61"/>
      <c r="H104" s="61"/>
      <c r="I104" s="61"/>
      <c r="J104" s="61"/>
      <c r="K104" s="66"/>
      <c r="L104" s="67"/>
      <c r="M104" s="67"/>
      <c r="N104" s="35"/>
    </row>
    <row r="105" spans="2:14" s="32" customFormat="1" ht="12.75">
      <c r="B105" s="63"/>
      <c r="C105" s="64"/>
      <c r="D105" s="65"/>
      <c r="E105" s="65"/>
      <c r="F105" s="61"/>
      <c r="G105" s="61"/>
      <c r="H105" s="61"/>
      <c r="I105" s="61"/>
      <c r="J105" s="61"/>
      <c r="K105" s="66"/>
      <c r="L105" s="67"/>
      <c r="M105" s="67"/>
      <c r="N105" s="35"/>
    </row>
    <row r="106" spans="2:14" s="32" customFormat="1" ht="12.75">
      <c r="B106" s="63"/>
      <c r="C106" s="64"/>
      <c r="D106" s="65"/>
      <c r="E106" s="65"/>
      <c r="F106" s="61"/>
      <c r="G106" s="61"/>
      <c r="H106" s="61"/>
      <c r="I106" s="61"/>
      <c r="J106" s="61"/>
      <c r="K106" s="66"/>
      <c r="L106" s="67"/>
      <c r="M106" s="67"/>
      <c r="N106" s="35"/>
    </row>
    <row r="107" spans="2:14" s="32" customFormat="1" ht="12.75">
      <c r="B107" s="63"/>
      <c r="C107" s="64"/>
      <c r="D107" s="65"/>
      <c r="E107" s="65"/>
      <c r="F107" s="61"/>
      <c r="G107" s="61"/>
      <c r="H107" s="61"/>
      <c r="I107" s="61"/>
      <c r="J107" s="61"/>
      <c r="K107" s="66"/>
      <c r="L107" s="67"/>
      <c r="M107" s="67"/>
      <c r="N107" s="35"/>
    </row>
    <row r="108" spans="2:14" s="32" customFormat="1" ht="12.75">
      <c r="B108" s="63"/>
      <c r="C108" s="64"/>
      <c r="D108" s="65"/>
      <c r="E108" s="65"/>
      <c r="F108" s="61"/>
      <c r="G108" s="61"/>
      <c r="H108" s="61"/>
      <c r="I108" s="61"/>
      <c r="J108" s="61"/>
      <c r="K108" s="66"/>
      <c r="L108" s="67"/>
      <c r="M108" s="67"/>
      <c r="N108" s="35"/>
    </row>
    <row r="109" spans="2:14" s="32" customFormat="1" ht="12.75">
      <c r="B109" s="63"/>
      <c r="C109" s="64"/>
      <c r="D109" s="65"/>
      <c r="E109" s="65"/>
      <c r="F109" s="61"/>
      <c r="G109" s="61"/>
      <c r="H109" s="61"/>
      <c r="I109" s="61"/>
      <c r="J109" s="61"/>
      <c r="K109" s="66"/>
      <c r="L109" s="67"/>
      <c r="M109" s="67"/>
      <c r="N109" s="35"/>
    </row>
    <row r="110" spans="2:14" s="32" customFormat="1" ht="12.75">
      <c r="B110" s="63"/>
      <c r="C110" s="64"/>
      <c r="D110" s="65"/>
      <c r="E110" s="65"/>
      <c r="F110" s="61"/>
      <c r="G110" s="61"/>
      <c r="H110" s="61"/>
      <c r="I110" s="61"/>
      <c r="J110" s="61"/>
      <c r="K110" s="66"/>
      <c r="L110" s="67"/>
      <c r="M110" s="67"/>
      <c r="N110" s="35"/>
    </row>
    <row r="111" spans="2:14" s="32" customFormat="1" ht="12.75">
      <c r="B111" s="63"/>
      <c r="C111" s="64"/>
      <c r="D111" s="65"/>
      <c r="E111" s="65"/>
      <c r="F111" s="61"/>
      <c r="G111" s="61"/>
      <c r="H111" s="61"/>
      <c r="I111" s="61"/>
      <c r="J111" s="61"/>
      <c r="K111" s="66"/>
      <c r="L111" s="67"/>
      <c r="M111" s="67"/>
      <c r="N111" s="35"/>
    </row>
    <row r="112" spans="2:14" s="32" customFormat="1" ht="12.75">
      <c r="B112" s="63"/>
      <c r="C112" s="64"/>
      <c r="D112" s="65"/>
      <c r="E112" s="65"/>
      <c r="F112" s="61"/>
      <c r="G112" s="61"/>
      <c r="H112" s="61"/>
      <c r="I112" s="61"/>
      <c r="J112" s="61"/>
      <c r="K112" s="66"/>
      <c r="L112" s="67"/>
      <c r="M112" s="67"/>
      <c r="N112" s="35"/>
    </row>
    <row r="113" spans="2:14" s="32" customFormat="1" ht="12.75">
      <c r="B113" s="63"/>
      <c r="C113" s="64"/>
      <c r="D113" s="65"/>
      <c r="E113" s="65"/>
      <c r="F113" s="61"/>
      <c r="G113" s="61"/>
      <c r="H113" s="61"/>
      <c r="I113" s="61"/>
      <c r="J113" s="61"/>
      <c r="K113" s="66"/>
      <c r="L113" s="67"/>
      <c r="M113" s="67"/>
      <c r="N113" s="35"/>
    </row>
    <row r="114" spans="2:14" s="32" customFormat="1" ht="12.75">
      <c r="B114" s="63"/>
      <c r="C114" s="64"/>
      <c r="D114" s="65"/>
      <c r="E114" s="65"/>
      <c r="F114" s="61"/>
      <c r="G114" s="61"/>
      <c r="H114" s="61"/>
      <c r="I114" s="61"/>
      <c r="J114" s="61"/>
      <c r="K114" s="66"/>
      <c r="L114" s="67"/>
      <c r="M114" s="67"/>
      <c r="N114" s="35"/>
    </row>
    <row r="115" spans="2:14" s="32" customFormat="1" ht="12.75">
      <c r="B115" s="63"/>
      <c r="C115" s="64"/>
      <c r="D115" s="65"/>
      <c r="E115" s="65"/>
      <c r="F115" s="61"/>
      <c r="G115" s="61"/>
      <c r="H115" s="61"/>
      <c r="I115" s="61"/>
      <c r="J115" s="61"/>
      <c r="K115" s="66"/>
      <c r="L115" s="67"/>
      <c r="M115" s="67"/>
      <c r="N115" s="35"/>
    </row>
    <row r="116" spans="2:14" s="32" customFormat="1" ht="12.75">
      <c r="B116" s="63"/>
      <c r="C116" s="64"/>
      <c r="D116" s="65"/>
      <c r="E116" s="65"/>
      <c r="F116" s="61"/>
      <c r="G116" s="61"/>
      <c r="H116" s="61"/>
      <c r="I116" s="61"/>
      <c r="J116" s="61"/>
      <c r="K116" s="66"/>
      <c r="L116" s="67"/>
      <c r="M116" s="67"/>
      <c r="N116" s="35"/>
    </row>
    <row r="117" spans="2:14" s="32" customFormat="1" ht="12.75">
      <c r="B117" s="63"/>
      <c r="C117" s="64"/>
      <c r="D117" s="65"/>
      <c r="E117" s="65"/>
      <c r="F117" s="61"/>
      <c r="G117" s="61"/>
      <c r="H117" s="61"/>
      <c r="I117" s="61"/>
      <c r="J117" s="61"/>
      <c r="K117" s="66"/>
      <c r="L117" s="67"/>
      <c r="M117" s="67"/>
      <c r="N117" s="35"/>
    </row>
    <row r="118" spans="2:14" s="32" customFormat="1" ht="12.75">
      <c r="B118" s="63"/>
      <c r="C118" s="64"/>
      <c r="D118" s="65"/>
      <c r="E118" s="65"/>
      <c r="F118" s="61"/>
      <c r="G118" s="61"/>
      <c r="H118" s="61"/>
      <c r="I118" s="61"/>
      <c r="J118" s="61"/>
      <c r="K118" s="66"/>
      <c r="L118" s="67"/>
      <c r="M118" s="67"/>
      <c r="N118" s="35"/>
    </row>
    <row r="119" spans="2:14" s="32" customFormat="1" ht="12.75">
      <c r="B119" s="63"/>
      <c r="C119" s="64"/>
      <c r="D119" s="65"/>
      <c r="E119" s="65"/>
      <c r="F119" s="61"/>
      <c r="G119" s="61"/>
      <c r="H119" s="61"/>
      <c r="I119" s="61"/>
      <c r="J119" s="61"/>
      <c r="K119" s="66"/>
      <c r="L119" s="67"/>
      <c r="M119" s="67"/>
      <c r="N119" s="35"/>
    </row>
    <row r="120" spans="2:14" s="32" customFormat="1" ht="12.75">
      <c r="B120" s="63"/>
      <c r="C120" s="64"/>
      <c r="D120" s="65"/>
      <c r="E120" s="65"/>
      <c r="F120" s="61"/>
      <c r="G120" s="61"/>
      <c r="H120" s="61"/>
      <c r="I120" s="61"/>
      <c r="J120" s="61"/>
      <c r="K120" s="66"/>
      <c r="L120" s="67"/>
      <c r="M120" s="67"/>
      <c r="N120" s="35"/>
    </row>
    <row r="121" spans="2:14" s="32" customFormat="1" ht="12.75">
      <c r="B121" s="63"/>
      <c r="C121" s="64"/>
      <c r="D121" s="65"/>
      <c r="E121" s="65"/>
      <c r="F121" s="61"/>
      <c r="G121" s="61"/>
      <c r="H121" s="61"/>
      <c r="I121" s="61"/>
      <c r="J121" s="61"/>
      <c r="K121" s="66"/>
      <c r="L121" s="67"/>
      <c r="M121" s="67"/>
      <c r="N121" s="35"/>
    </row>
    <row r="122" spans="2:14" s="32" customFormat="1" ht="12.75">
      <c r="B122" s="63"/>
      <c r="C122" s="64"/>
      <c r="D122" s="65"/>
      <c r="E122" s="65"/>
      <c r="F122" s="61"/>
      <c r="G122" s="61"/>
      <c r="H122" s="61"/>
      <c r="I122" s="61"/>
      <c r="J122" s="61"/>
      <c r="K122" s="66"/>
      <c r="L122" s="67"/>
      <c r="M122" s="67"/>
      <c r="N122" s="35"/>
    </row>
    <row r="123" spans="2:14" s="32" customFormat="1" ht="12.75">
      <c r="B123" s="63"/>
      <c r="C123" s="64"/>
      <c r="D123" s="65"/>
      <c r="E123" s="65"/>
      <c r="F123" s="61"/>
      <c r="G123" s="61"/>
      <c r="H123" s="61"/>
      <c r="I123" s="61"/>
      <c r="J123" s="61"/>
      <c r="K123" s="66"/>
      <c r="L123" s="67"/>
      <c r="M123" s="67"/>
      <c r="N123" s="35"/>
    </row>
    <row r="124" spans="2:14" s="32" customFormat="1" ht="12.75">
      <c r="B124" s="63"/>
      <c r="C124" s="64"/>
      <c r="D124" s="65"/>
      <c r="E124" s="65"/>
      <c r="F124" s="61"/>
      <c r="G124" s="61"/>
      <c r="H124" s="61"/>
      <c r="I124" s="61"/>
      <c r="J124" s="61"/>
      <c r="K124" s="66"/>
      <c r="L124" s="67"/>
      <c r="M124" s="67"/>
      <c r="N124" s="35"/>
    </row>
    <row r="125" spans="2:14" s="32" customFormat="1" ht="12.75">
      <c r="B125" s="63"/>
      <c r="C125" s="64"/>
      <c r="D125" s="65"/>
      <c r="E125" s="65"/>
      <c r="F125" s="61"/>
      <c r="G125" s="61"/>
      <c r="H125" s="61"/>
      <c r="I125" s="61"/>
      <c r="J125" s="61"/>
      <c r="K125" s="66"/>
      <c r="L125" s="67"/>
      <c r="M125" s="67"/>
      <c r="N125" s="35"/>
    </row>
    <row r="126" spans="2:14" s="32" customFormat="1" ht="12.75">
      <c r="B126" s="63"/>
      <c r="C126" s="64"/>
      <c r="D126" s="65"/>
      <c r="E126" s="65"/>
      <c r="F126" s="61"/>
      <c r="G126" s="61"/>
      <c r="H126" s="61"/>
      <c r="I126" s="61"/>
      <c r="J126" s="61"/>
      <c r="K126" s="66"/>
      <c r="L126" s="67"/>
      <c r="M126" s="67"/>
      <c r="N126" s="35"/>
    </row>
    <row r="127" spans="2:14" s="32" customFormat="1" ht="12.75">
      <c r="B127" s="63"/>
      <c r="C127" s="64"/>
      <c r="D127" s="65"/>
      <c r="E127" s="65"/>
      <c r="F127" s="61"/>
      <c r="G127" s="61"/>
      <c r="H127" s="61"/>
      <c r="I127" s="61"/>
      <c r="J127" s="61"/>
      <c r="K127" s="66"/>
      <c r="L127" s="67"/>
      <c r="M127" s="67"/>
      <c r="N127" s="35"/>
    </row>
    <row r="128" spans="2:14" s="32" customFormat="1" ht="12.75">
      <c r="B128" s="63"/>
      <c r="C128" s="64"/>
      <c r="D128" s="65"/>
      <c r="E128" s="65"/>
      <c r="F128" s="61"/>
      <c r="G128" s="61"/>
      <c r="H128" s="61"/>
      <c r="I128" s="61"/>
      <c r="J128" s="61"/>
      <c r="K128" s="66"/>
      <c r="L128" s="67"/>
      <c r="M128" s="67"/>
      <c r="N128" s="35"/>
    </row>
    <row r="129" spans="2:14" s="32" customFormat="1" ht="12.75">
      <c r="B129" s="63"/>
      <c r="C129" s="64"/>
      <c r="D129" s="65"/>
      <c r="E129" s="65"/>
      <c r="F129" s="61"/>
      <c r="G129" s="61"/>
      <c r="H129" s="61"/>
      <c r="I129" s="61"/>
      <c r="J129" s="61"/>
      <c r="K129" s="66"/>
      <c r="L129" s="67"/>
      <c r="M129" s="67"/>
      <c r="N129" s="35"/>
    </row>
    <row r="130" spans="2:14" s="32" customFormat="1" ht="12.75">
      <c r="B130" s="63"/>
      <c r="C130" s="64"/>
      <c r="D130" s="65"/>
      <c r="E130" s="65"/>
      <c r="F130" s="61"/>
      <c r="G130" s="61"/>
      <c r="H130" s="61"/>
      <c r="I130" s="61"/>
      <c r="J130" s="61"/>
      <c r="K130" s="66"/>
      <c r="L130" s="67"/>
      <c r="M130" s="67"/>
      <c r="N130" s="35"/>
    </row>
    <row r="131" spans="2:14" s="32" customFormat="1" ht="12.75">
      <c r="B131" s="63"/>
      <c r="C131" s="64"/>
      <c r="D131" s="65"/>
      <c r="E131" s="65"/>
      <c r="F131" s="61"/>
      <c r="G131" s="61"/>
      <c r="H131" s="61"/>
      <c r="I131" s="61"/>
      <c r="J131" s="61"/>
      <c r="K131" s="66"/>
      <c r="L131" s="67"/>
      <c r="M131" s="67"/>
      <c r="N131" s="35"/>
    </row>
    <row r="132" spans="2:14" s="32" customFormat="1" ht="12.75">
      <c r="B132" s="63"/>
      <c r="C132" s="64"/>
      <c r="D132" s="65"/>
      <c r="E132" s="65"/>
      <c r="F132" s="61"/>
      <c r="G132" s="61"/>
      <c r="H132" s="61"/>
      <c r="I132" s="61"/>
      <c r="J132" s="61"/>
      <c r="K132" s="66"/>
      <c r="L132" s="67"/>
      <c r="M132" s="67"/>
      <c r="N132" s="35"/>
    </row>
    <row r="133" spans="2:14" s="32" customFormat="1" ht="12.75">
      <c r="B133" s="63"/>
      <c r="C133" s="64"/>
      <c r="D133" s="65"/>
      <c r="E133" s="65"/>
      <c r="F133" s="61"/>
      <c r="G133" s="61"/>
      <c r="H133" s="61"/>
      <c r="I133" s="61"/>
      <c r="J133" s="61"/>
      <c r="K133" s="66"/>
      <c r="L133" s="67"/>
      <c r="M133" s="67"/>
      <c r="N133" s="35"/>
    </row>
    <row r="134" spans="2:14" s="32" customFormat="1" ht="12.75">
      <c r="B134" s="63"/>
      <c r="C134" s="64"/>
      <c r="D134" s="65"/>
      <c r="E134" s="65"/>
      <c r="F134" s="61"/>
      <c r="G134" s="61"/>
      <c r="H134" s="61"/>
      <c r="I134" s="61"/>
      <c r="J134" s="61"/>
      <c r="K134" s="66"/>
      <c r="L134" s="67"/>
      <c r="M134" s="67"/>
      <c r="N134" s="35"/>
    </row>
    <row r="135" spans="2:14" s="32" customFormat="1" ht="12.75">
      <c r="B135" s="63"/>
      <c r="C135" s="64"/>
      <c r="D135" s="65"/>
      <c r="E135" s="65"/>
      <c r="F135" s="61"/>
      <c r="G135" s="61"/>
      <c r="H135" s="61"/>
      <c r="I135" s="61"/>
      <c r="J135" s="61"/>
      <c r="K135" s="66"/>
      <c r="L135" s="67"/>
      <c r="M135" s="67"/>
      <c r="N135" s="35"/>
    </row>
    <row r="136" spans="2:14" s="32" customFormat="1" ht="12.75">
      <c r="B136" s="63"/>
      <c r="C136" s="64"/>
      <c r="D136" s="65"/>
      <c r="E136" s="65"/>
      <c r="F136" s="61"/>
      <c r="G136" s="61"/>
      <c r="H136" s="61"/>
      <c r="I136" s="61"/>
      <c r="J136" s="61"/>
      <c r="K136" s="66"/>
      <c r="L136" s="67"/>
      <c r="M136" s="67"/>
      <c r="N136" s="35"/>
    </row>
    <row r="137" spans="2:14" s="32" customFormat="1" ht="12.75">
      <c r="B137" s="63"/>
      <c r="C137" s="64"/>
      <c r="D137" s="65"/>
      <c r="E137" s="65"/>
      <c r="F137" s="61"/>
      <c r="G137" s="61"/>
      <c r="H137" s="61"/>
      <c r="I137" s="61"/>
      <c r="J137" s="61"/>
      <c r="K137" s="66"/>
      <c r="L137" s="67"/>
      <c r="M137" s="67"/>
      <c r="N137" s="35"/>
    </row>
    <row r="138" spans="2:14" s="32" customFormat="1" ht="12.75">
      <c r="B138" s="63"/>
      <c r="C138" s="64"/>
      <c r="D138" s="65"/>
      <c r="E138" s="65"/>
      <c r="F138" s="61"/>
      <c r="G138" s="61"/>
      <c r="H138" s="61"/>
      <c r="I138" s="61"/>
      <c r="J138" s="61"/>
      <c r="K138" s="66"/>
      <c r="L138" s="67"/>
      <c r="M138" s="67"/>
      <c r="N138" s="35"/>
    </row>
    <row r="139" spans="2:14" s="32" customFormat="1" ht="12.75">
      <c r="B139" s="63"/>
      <c r="C139" s="64"/>
      <c r="D139" s="65"/>
      <c r="E139" s="65"/>
      <c r="F139" s="61"/>
      <c r="G139" s="61"/>
      <c r="H139" s="61"/>
      <c r="I139" s="61"/>
      <c r="J139" s="61"/>
      <c r="K139" s="66"/>
      <c r="L139" s="67"/>
      <c r="M139" s="67"/>
      <c r="N139" s="35"/>
    </row>
    <row r="140" spans="2:14" s="32" customFormat="1" ht="12.75">
      <c r="B140" s="63"/>
      <c r="C140" s="64"/>
      <c r="D140" s="65"/>
      <c r="E140" s="65"/>
      <c r="F140" s="61"/>
      <c r="G140" s="61"/>
      <c r="H140" s="61"/>
      <c r="I140" s="61"/>
      <c r="J140" s="61"/>
      <c r="K140" s="66"/>
      <c r="L140" s="67"/>
      <c r="M140" s="67"/>
      <c r="N140" s="35"/>
    </row>
    <row r="141" spans="2:14" s="32" customFormat="1" ht="12.75">
      <c r="B141" s="63"/>
      <c r="C141" s="64"/>
      <c r="D141" s="65"/>
      <c r="E141" s="65"/>
      <c r="F141" s="61"/>
      <c r="G141" s="61"/>
      <c r="H141" s="61"/>
      <c r="I141" s="61"/>
      <c r="J141" s="61"/>
      <c r="K141" s="66"/>
      <c r="L141" s="67"/>
      <c r="M141" s="67"/>
      <c r="N141" s="35"/>
    </row>
    <row r="142" spans="2:14" s="32" customFormat="1" ht="12.75">
      <c r="B142" s="63"/>
      <c r="C142" s="64"/>
      <c r="D142" s="65"/>
      <c r="E142" s="65"/>
      <c r="F142" s="61"/>
      <c r="G142" s="61"/>
      <c r="H142" s="61"/>
      <c r="I142" s="61"/>
      <c r="J142" s="61"/>
      <c r="K142" s="66"/>
      <c r="L142" s="67"/>
      <c r="M142" s="67"/>
      <c r="N142" s="35"/>
    </row>
    <row r="143" spans="2:14" s="32" customFormat="1" ht="12.75">
      <c r="B143" s="63"/>
      <c r="C143" s="64"/>
      <c r="D143" s="65"/>
      <c r="E143" s="65"/>
      <c r="F143" s="61"/>
      <c r="G143" s="61"/>
      <c r="H143" s="61"/>
      <c r="I143" s="61"/>
      <c r="J143" s="61"/>
      <c r="K143" s="66"/>
      <c r="L143" s="67"/>
      <c r="M143" s="67"/>
      <c r="N143" s="35"/>
    </row>
    <row r="144" spans="2:14" s="32" customFormat="1" ht="12.75">
      <c r="B144" s="63"/>
      <c r="C144" s="64"/>
      <c r="D144" s="65"/>
      <c r="E144" s="65"/>
      <c r="F144" s="61"/>
      <c r="G144" s="61"/>
      <c r="H144" s="61"/>
      <c r="I144" s="61"/>
      <c r="J144" s="61"/>
      <c r="K144" s="66"/>
      <c r="L144" s="67"/>
      <c r="M144" s="67"/>
      <c r="N144" s="35"/>
    </row>
    <row r="145" spans="1:14" s="32" customFormat="1" ht="12.75">
      <c r="B145" s="63"/>
      <c r="C145" s="64"/>
      <c r="D145" s="65"/>
      <c r="E145" s="65"/>
      <c r="F145" s="61"/>
      <c r="G145" s="61"/>
      <c r="H145" s="61"/>
      <c r="I145" s="61"/>
      <c r="J145" s="61"/>
      <c r="K145" s="66"/>
      <c r="L145" s="67"/>
      <c r="M145" s="67"/>
      <c r="N145" s="35"/>
    </row>
    <row r="146" spans="1:14" s="32" customFormat="1">
      <c r="A146" s="68"/>
      <c r="B146" s="63"/>
      <c r="C146" s="64"/>
      <c r="D146" s="65"/>
      <c r="E146" s="65"/>
      <c r="F146" s="61"/>
      <c r="G146" s="61"/>
      <c r="H146" s="61"/>
      <c r="I146" s="61"/>
      <c r="J146" s="61"/>
      <c r="K146" s="66"/>
      <c r="L146" s="67"/>
      <c r="M146" s="67"/>
      <c r="N146" s="35"/>
    </row>
    <row r="147" spans="1:14" s="32" customFormat="1">
      <c r="A147" s="68"/>
      <c r="B147" s="63"/>
      <c r="C147" s="64"/>
      <c r="D147" s="65"/>
      <c r="E147" s="65"/>
      <c r="F147" s="61"/>
      <c r="G147" s="61"/>
      <c r="H147" s="61"/>
      <c r="I147" s="61"/>
      <c r="J147" s="61"/>
      <c r="K147" s="66"/>
      <c r="L147" s="67"/>
      <c r="M147" s="67"/>
      <c r="N147" s="35"/>
    </row>
    <row r="148" spans="1:14" s="32" customFormat="1">
      <c r="A148" s="68"/>
      <c r="B148" s="63"/>
      <c r="C148" s="64"/>
      <c r="D148" s="65"/>
      <c r="E148" s="65"/>
      <c r="F148" s="61"/>
      <c r="G148" s="61"/>
      <c r="H148" s="61"/>
      <c r="I148" s="61"/>
      <c r="J148" s="61"/>
      <c r="K148" s="66"/>
      <c r="L148" s="67"/>
      <c r="M148" s="67"/>
      <c r="N148" s="35"/>
    </row>
    <row r="149" spans="1:14" s="32" customFormat="1" ht="18.75">
      <c r="A149" s="69"/>
      <c r="B149" s="63"/>
      <c r="C149" s="64"/>
      <c r="D149" s="65"/>
      <c r="E149" s="65"/>
      <c r="F149" s="61"/>
      <c r="G149" s="61"/>
      <c r="H149" s="61"/>
      <c r="I149" s="61"/>
      <c r="J149" s="61"/>
      <c r="K149" s="66"/>
      <c r="L149" s="67"/>
      <c r="M149" s="67"/>
      <c r="N149" s="35"/>
    </row>
    <row r="150" spans="1:14" s="32" customFormat="1" ht="12.75">
      <c r="A150" s="65"/>
      <c r="B150" s="63"/>
      <c r="C150" s="64"/>
      <c r="D150" s="65"/>
      <c r="E150" s="65"/>
      <c r="F150" s="61"/>
      <c r="G150" s="61"/>
      <c r="H150" s="61"/>
      <c r="I150" s="61"/>
      <c r="J150" s="61"/>
      <c r="K150" s="66"/>
      <c r="L150" s="67"/>
      <c r="M150" s="67"/>
      <c r="N150" s="35"/>
    </row>
    <row r="151" spans="1:14" s="32" customFormat="1" ht="12.75">
      <c r="A151" s="65"/>
      <c r="B151" s="63"/>
      <c r="C151" s="64"/>
      <c r="D151" s="65"/>
      <c r="E151" s="65"/>
      <c r="F151" s="61"/>
      <c r="G151" s="61"/>
      <c r="H151" s="61"/>
      <c r="I151" s="61"/>
      <c r="J151" s="61"/>
      <c r="K151" s="66"/>
      <c r="L151" s="67"/>
      <c r="M151" s="67"/>
      <c r="N151" s="35"/>
    </row>
    <row r="152" spans="1:14" s="32" customFormat="1" ht="12.75">
      <c r="A152" s="65"/>
      <c r="B152" s="63"/>
      <c r="C152" s="64"/>
      <c r="D152" s="65"/>
      <c r="E152" s="65"/>
      <c r="F152" s="61"/>
      <c r="G152" s="61"/>
      <c r="H152" s="61"/>
      <c r="I152" s="61"/>
      <c r="J152" s="61"/>
      <c r="K152" s="66"/>
      <c r="L152" s="67"/>
      <c r="M152" s="67"/>
      <c r="N152" s="35"/>
    </row>
    <row r="153" spans="1:14" s="32" customFormat="1" ht="12.75">
      <c r="A153" s="65"/>
      <c r="B153" s="63"/>
      <c r="C153" s="64"/>
      <c r="D153" s="65"/>
      <c r="E153" s="65"/>
      <c r="F153" s="61"/>
      <c r="G153" s="61"/>
      <c r="H153" s="61"/>
      <c r="I153" s="61"/>
      <c r="J153" s="61"/>
      <c r="K153" s="66"/>
      <c r="L153" s="67"/>
      <c r="M153" s="67"/>
      <c r="N153" s="35"/>
    </row>
    <row r="154" spans="1:14" s="32" customFormat="1" ht="12.75">
      <c r="A154" s="65"/>
      <c r="B154" s="63"/>
      <c r="C154" s="64"/>
      <c r="D154" s="65"/>
      <c r="E154" s="65"/>
      <c r="F154" s="61"/>
      <c r="G154" s="61"/>
      <c r="H154" s="61"/>
      <c r="I154" s="61"/>
      <c r="J154" s="61"/>
      <c r="K154" s="66"/>
      <c r="L154" s="67"/>
      <c r="M154" s="67"/>
      <c r="N154" s="35"/>
    </row>
    <row r="155" spans="1:14" s="32" customFormat="1" ht="12.75">
      <c r="A155" s="65"/>
      <c r="B155" s="63"/>
      <c r="C155" s="64"/>
      <c r="D155" s="65"/>
      <c r="E155" s="65"/>
      <c r="F155" s="61"/>
      <c r="G155" s="61"/>
      <c r="H155" s="61"/>
      <c r="I155" s="61"/>
      <c r="J155" s="61"/>
      <c r="K155" s="66"/>
      <c r="L155" s="67"/>
      <c r="M155" s="67"/>
      <c r="N155" s="35"/>
    </row>
    <row r="156" spans="1:14" s="32" customFormat="1" ht="12.75">
      <c r="A156" s="65"/>
      <c r="B156" s="63"/>
      <c r="C156" s="64"/>
      <c r="D156" s="65"/>
      <c r="E156" s="65"/>
      <c r="F156" s="61"/>
      <c r="G156" s="61"/>
      <c r="H156" s="61"/>
      <c r="I156" s="61"/>
      <c r="J156" s="61"/>
      <c r="K156" s="66"/>
      <c r="L156" s="67"/>
      <c r="M156" s="67"/>
      <c r="N156" s="35"/>
    </row>
    <row r="157" spans="1:14" s="32" customFormat="1" ht="12.75">
      <c r="A157" s="65"/>
      <c r="B157" s="63"/>
      <c r="C157" s="64"/>
      <c r="D157" s="65"/>
      <c r="E157" s="65"/>
      <c r="F157" s="61"/>
      <c r="G157" s="61"/>
      <c r="H157" s="61"/>
      <c r="I157" s="61"/>
      <c r="J157" s="61"/>
      <c r="K157" s="66"/>
      <c r="L157" s="67"/>
      <c r="M157" s="67"/>
      <c r="N157" s="35"/>
    </row>
    <row r="158" spans="1:14" s="32" customFormat="1" ht="12.75">
      <c r="A158" s="65"/>
      <c r="B158" s="63"/>
      <c r="C158" s="64"/>
      <c r="D158" s="65"/>
      <c r="E158" s="65"/>
      <c r="F158" s="61"/>
      <c r="G158" s="61"/>
      <c r="H158" s="61"/>
      <c r="I158" s="61"/>
      <c r="J158" s="61"/>
      <c r="K158" s="66"/>
      <c r="L158" s="67"/>
      <c r="M158" s="67"/>
      <c r="N158" s="35"/>
    </row>
    <row r="159" spans="1:14" s="32" customFormat="1" ht="12.75">
      <c r="A159" s="65"/>
      <c r="B159" s="63"/>
      <c r="C159" s="64"/>
      <c r="D159" s="65"/>
      <c r="E159" s="65"/>
      <c r="F159" s="61"/>
      <c r="G159" s="61"/>
      <c r="H159" s="61"/>
      <c r="I159" s="61"/>
      <c r="J159" s="61"/>
      <c r="K159" s="66"/>
      <c r="L159" s="67"/>
      <c r="M159" s="67"/>
      <c r="N159" s="35"/>
    </row>
    <row r="160" spans="1:14" s="32" customFormat="1" ht="12.75">
      <c r="A160" s="65"/>
      <c r="B160" s="63"/>
      <c r="C160" s="64"/>
      <c r="D160" s="65"/>
      <c r="E160" s="65"/>
      <c r="F160" s="61"/>
      <c r="G160" s="61"/>
      <c r="H160" s="61"/>
      <c r="I160" s="61"/>
      <c r="J160" s="61"/>
      <c r="K160" s="66"/>
      <c r="L160" s="67"/>
      <c r="M160" s="67"/>
      <c r="N160" s="35"/>
    </row>
    <row r="161" spans="1:16" s="32" customFormat="1" ht="12.75">
      <c r="A161" s="65"/>
      <c r="B161" s="63"/>
      <c r="C161" s="64"/>
      <c r="D161" s="65"/>
      <c r="E161" s="65"/>
      <c r="F161" s="61"/>
      <c r="G161" s="61"/>
      <c r="H161" s="61"/>
      <c r="I161" s="61"/>
      <c r="J161" s="61"/>
      <c r="K161" s="66"/>
      <c r="L161" s="67"/>
      <c r="M161" s="67"/>
      <c r="N161" s="35"/>
    </row>
    <row r="162" spans="1:16" s="32" customFormat="1" ht="12.75">
      <c r="A162" s="65"/>
      <c r="B162" s="63"/>
      <c r="C162" s="64"/>
      <c r="D162" s="65"/>
      <c r="E162" s="65"/>
      <c r="F162" s="61"/>
      <c r="G162" s="61"/>
      <c r="H162" s="61"/>
      <c r="I162" s="61"/>
      <c r="J162" s="61"/>
      <c r="K162" s="66"/>
      <c r="L162" s="67"/>
      <c r="M162" s="67"/>
      <c r="N162" s="35"/>
    </row>
    <row r="163" spans="1:16" s="32" customFormat="1" ht="12.75">
      <c r="A163" s="65"/>
      <c r="B163" s="63"/>
      <c r="C163" s="64"/>
      <c r="D163" s="65"/>
      <c r="E163" s="65"/>
      <c r="F163" s="61"/>
      <c r="G163" s="61"/>
      <c r="H163" s="61"/>
      <c r="I163" s="61"/>
      <c r="J163" s="61"/>
      <c r="K163" s="66"/>
      <c r="L163" s="67"/>
      <c r="M163" s="67"/>
      <c r="N163" s="35"/>
    </row>
    <row r="164" spans="1:16" s="32" customFormat="1" ht="12.75">
      <c r="A164" s="65"/>
      <c r="B164" s="63"/>
      <c r="C164" s="64"/>
      <c r="D164" s="65"/>
      <c r="E164" s="65"/>
      <c r="F164" s="61"/>
      <c r="G164" s="61"/>
      <c r="H164" s="61"/>
      <c r="I164" s="61"/>
      <c r="J164" s="61"/>
      <c r="K164" s="66"/>
      <c r="L164" s="67"/>
      <c r="M164" s="67"/>
      <c r="N164" s="35"/>
    </row>
    <row r="165" spans="1:16" s="32" customFormat="1" ht="19.149999999999999" customHeight="1">
      <c r="A165" s="65"/>
      <c r="B165" s="63"/>
      <c r="C165" s="64"/>
      <c r="D165" s="65"/>
      <c r="E165" s="65"/>
      <c r="F165" s="61"/>
      <c r="G165" s="61"/>
      <c r="H165" s="61"/>
      <c r="I165" s="61"/>
      <c r="J165" s="61"/>
      <c r="K165" s="66"/>
      <c r="L165" s="67"/>
      <c r="M165" s="67"/>
      <c r="N165" s="35"/>
    </row>
    <row r="166" spans="1:16" s="32" customFormat="1" ht="12.75">
      <c r="A166" s="65"/>
      <c r="B166" s="63"/>
      <c r="C166" s="64"/>
      <c r="D166" s="65"/>
      <c r="E166" s="65"/>
      <c r="F166" s="61"/>
      <c r="G166" s="61"/>
      <c r="H166" s="61"/>
      <c r="I166" s="61"/>
      <c r="J166" s="61"/>
      <c r="K166" s="66"/>
      <c r="L166" s="67"/>
      <c r="M166" s="67"/>
      <c r="N166" s="35"/>
    </row>
    <row r="167" spans="1:16" s="32" customFormat="1" ht="12.75">
      <c r="A167" s="65"/>
      <c r="B167" s="63"/>
      <c r="C167" s="64"/>
      <c r="D167" s="65"/>
      <c r="E167" s="65"/>
      <c r="F167" s="61"/>
      <c r="G167" s="61"/>
      <c r="H167" s="61"/>
      <c r="I167" s="61"/>
      <c r="J167" s="61"/>
      <c r="K167" s="66"/>
      <c r="L167" s="67"/>
      <c r="M167" s="67"/>
      <c r="N167" s="35"/>
    </row>
    <row r="168" spans="1:16" s="32" customFormat="1" ht="12.75">
      <c r="A168" s="65"/>
      <c r="B168" s="63"/>
      <c r="C168" s="64"/>
      <c r="D168" s="65"/>
      <c r="E168" s="65"/>
      <c r="F168" s="61"/>
      <c r="G168" s="61"/>
      <c r="H168" s="61"/>
      <c r="I168" s="61"/>
      <c r="J168" s="61"/>
      <c r="K168" s="66"/>
      <c r="L168" s="67"/>
      <c r="M168" s="67"/>
      <c r="N168" s="35"/>
    </row>
    <row r="169" spans="1:16" s="32" customFormat="1" ht="12.75">
      <c r="A169" s="65"/>
      <c r="B169" s="63"/>
      <c r="C169" s="64"/>
      <c r="D169" s="65"/>
      <c r="E169" s="65"/>
      <c r="F169" s="61"/>
      <c r="G169" s="61"/>
      <c r="H169" s="61"/>
      <c r="I169" s="61"/>
      <c r="J169" s="61"/>
      <c r="K169" s="66"/>
      <c r="L169" s="67"/>
      <c r="M169" s="67"/>
      <c r="N169" s="35"/>
    </row>
    <row r="170" spans="1:16" s="32" customFormat="1" ht="12.75">
      <c r="A170" s="65"/>
      <c r="B170" s="63"/>
      <c r="C170" s="64"/>
      <c r="D170" s="65"/>
      <c r="E170" s="65"/>
      <c r="F170" s="61"/>
      <c r="G170" s="61"/>
      <c r="H170" s="61"/>
      <c r="I170" s="61"/>
      <c r="J170" s="61"/>
      <c r="K170" s="66"/>
      <c r="L170" s="67"/>
      <c r="M170" s="67"/>
      <c r="N170" s="35"/>
    </row>
    <row r="171" spans="1:16" s="32" customFormat="1" ht="12.75">
      <c r="A171" s="65"/>
      <c r="B171" s="63"/>
      <c r="C171" s="64"/>
      <c r="D171" s="65"/>
      <c r="E171" s="65"/>
      <c r="F171" s="61"/>
      <c r="G171" s="61"/>
      <c r="H171" s="61"/>
      <c r="I171" s="61"/>
      <c r="J171" s="61"/>
      <c r="K171" s="66"/>
      <c r="L171" s="67"/>
      <c r="M171" s="67"/>
      <c r="N171" s="35"/>
    </row>
    <row r="172" spans="1:16" s="32" customFormat="1" ht="12.75">
      <c r="A172" s="65"/>
      <c r="B172" s="63"/>
      <c r="C172" s="64"/>
      <c r="D172" s="65"/>
      <c r="E172" s="65"/>
      <c r="F172" s="61"/>
      <c r="G172" s="61"/>
      <c r="H172" s="61"/>
      <c r="I172" s="61"/>
      <c r="J172" s="61"/>
      <c r="K172" s="66"/>
      <c r="L172" s="67"/>
      <c r="M172" s="67"/>
      <c r="N172" s="35"/>
    </row>
    <row r="173" spans="1:16" s="32" customFormat="1" ht="12.75">
      <c r="A173" s="65"/>
      <c r="B173" s="63"/>
      <c r="C173" s="64"/>
      <c r="D173" s="65"/>
      <c r="E173" s="65"/>
      <c r="F173" s="61"/>
      <c r="G173" s="61"/>
      <c r="H173" s="61"/>
      <c r="I173" s="61"/>
      <c r="J173" s="61"/>
      <c r="K173" s="66"/>
      <c r="L173" s="67"/>
      <c r="M173" s="67"/>
      <c r="N173" s="35"/>
    </row>
    <row r="174" spans="1:16" s="32" customFormat="1" ht="12.75">
      <c r="A174" s="65"/>
      <c r="B174" s="63"/>
      <c r="C174" s="64"/>
      <c r="D174" s="65"/>
      <c r="E174" s="65"/>
      <c r="F174" s="61"/>
      <c r="G174" s="61"/>
      <c r="H174" s="61"/>
      <c r="I174" s="61"/>
      <c r="J174" s="61"/>
      <c r="K174" s="66"/>
      <c r="L174" s="67"/>
      <c r="M174" s="67"/>
      <c r="N174" s="35"/>
    </row>
    <row r="175" spans="1:16" s="32" customFormat="1" ht="18">
      <c r="A175" s="65"/>
      <c r="B175" s="63"/>
      <c r="C175" s="64"/>
      <c r="D175" s="65"/>
      <c r="E175" s="65"/>
      <c r="F175" s="61"/>
      <c r="G175" s="61"/>
      <c r="H175" s="61"/>
      <c r="I175" s="61"/>
      <c r="J175" s="61"/>
      <c r="K175" s="66"/>
      <c r="L175" s="67"/>
      <c r="M175" s="67"/>
      <c r="N175" s="70"/>
      <c r="O175" s="71"/>
      <c r="P175" s="68"/>
    </row>
    <row r="176" spans="1:16" s="32" customFormat="1" ht="18">
      <c r="A176" s="65"/>
      <c r="B176" s="63"/>
      <c r="C176" s="64"/>
      <c r="D176" s="65"/>
      <c r="E176" s="65"/>
      <c r="F176" s="61"/>
      <c r="G176" s="61"/>
      <c r="H176" s="61"/>
      <c r="I176" s="61"/>
      <c r="J176" s="61"/>
      <c r="K176" s="66"/>
      <c r="L176" s="67"/>
      <c r="M176" s="67"/>
      <c r="N176" s="70"/>
      <c r="O176" s="71"/>
      <c r="P176" s="68"/>
    </row>
    <row r="177" spans="1:16" s="68" customFormat="1" ht="18">
      <c r="A177" s="65"/>
      <c r="B177" s="63"/>
      <c r="C177" s="64"/>
      <c r="D177" s="65"/>
      <c r="E177" s="65"/>
      <c r="F177" s="61"/>
      <c r="G177" s="61"/>
      <c r="H177" s="61"/>
      <c r="I177" s="61"/>
      <c r="J177" s="61"/>
      <c r="K177" s="66"/>
      <c r="L177" s="67"/>
      <c r="M177" s="67"/>
      <c r="N177" s="70"/>
      <c r="O177" s="71"/>
    </row>
    <row r="178" spans="1:16" s="68" customFormat="1" ht="18.75">
      <c r="A178" s="65"/>
      <c r="B178" s="63"/>
      <c r="C178" s="64"/>
      <c r="D178" s="65"/>
      <c r="E178" s="65"/>
      <c r="F178" s="61"/>
      <c r="G178" s="61"/>
      <c r="H178" s="61"/>
      <c r="I178" s="61"/>
      <c r="J178" s="61"/>
      <c r="K178" s="66"/>
      <c r="L178" s="67"/>
      <c r="M178" s="67"/>
      <c r="N178" s="69"/>
      <c r="O178" s="69"/>
      <c r="P178" s="69"/>
    </row>
    <row r="179" spans="1:16" s="68" customFormat="1">
      <c r="A179" s="65"/>
      <c r="B179" s="63"/>
      <c r="C179" s="64"/>
      <c r="D179" s="65"/>
      <c r="E179" s="65"/>
      <c r="F179" s="61"/>
      <c r="G179" s="61"/>
      <c r="H179" s="61"/>
      <c r="I179" s="61"/>
      <c r="J179" s="61"/>
      <c r="K179" s="66"/>
      <c r="L179" s="67"/>
      <c r="M179" s="67"/>
      <c r="N179" s="21"/>
      <c r="O179" s="65"/>
      <c r="P179" s="65"/>
    </row>
    <row r="180" spans="1:16" s="69" customFormat="1" ht="18" customHeight="1">
      <c r="A180" s="65"/>
      <c r="B180" s="63"/>
      <c r="C180" s="64"/>
      <c r="D180" s="65"/>
      <c r="E180" s="65"/>
      <c r="F180" s="61"/>
      <c r="G180" s="61"/>
      <c r="H180" s="61"/>
      <c r="I180" s="61"/>
      <c r="J180" s="61"/>
      <c r="K180" s="66"/>
      <c r="L180" s="67"/>
      <c r="M180" s="67"/>
      <c r="N180" s="21"/>
      <c r="O180" s="65"/>
      <c r="P180" s="65"/>
    </row>
    <row r="182" spans="1:16" ht="20.45" customHeight="1"/>
    <row r="183" spans="1:16" ht="20.45" customHeight="1"/>
    <row r="184" spans="1:16" ht="19.149999999999999" customHeight="1"/>
    <row r="185" spans="1:16" ht="21.6" customHeight="1"/>
    <row r="186" spans="1:16" ht="21" customHeight="1"/>
    <row r="187" spans="1:16" ht="20.45" customHeight="1"/>
    <row r="188" spans="1:16" ht="19.899999999999999" customHeight="1"/>
    <row r="189" spans="1:16" ht="18.600000000000001" customHeight="1"/>
    <row r="190" spans="1:16" ht="19.149999999999999" customHeight="1"/>
    <row r="213" ht="18" customHeight="1"/>
    <row r="214" ht="22.9" customHeight="1"/>
    <row r="303" ht="23.45" customHeight="1"/>
    <row r="305" ht="22.15" customHeight="1"/>
  </sheetData>
  <mergeCells count="15">
    <mergeCell ref="C38:E38"/>
    <mergeCell ref="J38:L38"/>
    <mergeCell ref="K4:L4"/>
    <mergeCell ref="K35:L35"/>
    <mergeCell ref="K36:L36"/>
    <mergeCell ref="K37:L37"/>
    <mergeCell ref="B7:C7"/>
    <mergeCell ref="B21:C21"/>
    <mergeCell ref="C1:J1"/>
    <mergeCell ref="C3:J3"/>
    <mergeCell ref="B4:B5"/>
    <mergeCell ref="C4:C5"/>
    <mergeCell ref="D4:D5"/>
    <mergeCell ref="E4:E5"/>
    <mergeCell ref="F4:F5"/>
  </mergeCells>
  <conditionalFormatting sqref="B7">
    <cfRule type="expression" dxfId="21" priority="11" stopIfTrue="1">
      <formula>#REF!=""</formula>
    </cfRule>
    <cfRule type="expression" dxfId="20" priority="12" stopIfTrue="1">
      <formula>#REF!="*"</formula>
    </cfRule>
  </conditionalFormatting>
  <conditionalFormatting sqref="B8:B20 B22:B34">
    <cfRule type="expression" dxfId="19" priority="33" stopIfTrue="1">
      <formula>#REF!="*"</formula>
    </cfRule>
  </conditionalFormatting>
  <conditionalFormatting sqref="B21">
    <cfRule type="expression" dxfId="18" priority="9" stopIfTrue="1">
      <formula>#REF!=""</formula>
    </cfRule>
    <cfRule type="expression" dxfId="17" priority="10" stopIfTrue="1">
      <formula>#REF!="*"</formula>
    </cfRule>
  </conditionalFormatting>
  <conditionalFormatting sqref="C8:C18">
    <cfRule type="expression" dxfId="16" priority="32" stopIfTrue="1">
      <formula>#REF!="*"</formula>
    </cfRule>
  </conditionalFormatting>
  <conditionalFormatting sqref="C22:C24 C26:C34">
    <cfRule type="expression" dxfId="15" priority="17" stopIfTrue="1">
      <formula>#REF!="*"</formula>
    </cfRule>
    <cfRule type="expression" dxfId="14" priority="31" stopIfTrue="1">
      <formula>#REF!=""</formula>
    </cfRule>
  </conditionalFormatting>
  <conditionalFormatting sqref="E7:E34">
    <cfRule type="expression" dxfId="13" priority="29" stopIfTrue="1">
      <formula>D7="İş Yok"</formula>
    </cfRule>
  </conditionalFormatting>
  <conditionalFormatting sqref="F7:F34">
    <cfRule type="expression" dxfId="12" priority="27" stopIfTrue="1">
      <formula>D7="İş Yok"</formula>
    </cfRule>
  </conditionalFormatting>
  <conditionalFormatting sqref="G7:G34">
    <cfRule type="expression" dxfId="11" priority="26" stopIfTrue="1">
      <formula>D7="İşç."</formula>
    </cfRule>
  </conditionalFormatting>
  <conditionalFormatting sqref="G7:H34">
    <cfRule type="expression" dxfId="10" priority="24" stopIfTrue="1">
      <formula>D7="İş Yox"</formula>
    </cfRule>
    <cfRule type="expression" dxfId="9" priority="25" stopIfTrue="1">
      <formula>D7="Mat. Sifarişçi"</formula>
    </cfRule>
  </conditionalFormatting>
  <conditionalFormatting sqref="H7:H35">
    <cfRule type="expression" dxfId="8" priority="23" stopIfTrue="1">
      <formula>D7="İşç."</formula>
    </cfRule>
    <cfRule type="expression" dxfId="7" priority="34" stopIfTrue="1">
      <formula>D7="Mat. Sifarişçi"</formula>
    </cfRule>
  </conditionalFormatting>
  <conditionalFormatting sqref="H35">
    <cfRule type="expression" dxfId="6" priority="21" stopIfTrue="1">
      <formula>E35="Mat. Sifarişçi"</formula>
    </cfRule>
  </conditionalFormatting>
  <conditionalFormatting sqref="I7:I34">
    <cfRule type="expression" dxfId="5" priority="20" stopIfTrue="1">
      <formula>D7="Mat.işç daxil"</formula>
    </cfRule>
    <cfRule type="expression" dxfId="4" priority="35" stopIfTrue="1">
      <formula>D7="Mat."</formula>
    </cfRule>
  </conditionalFormatting>
  <conditionalFormatting sqref="J7:J34">
    <cfRule type="expression" dxfId="3" priority="18" stopIfTrue="1">
      <formula>D7="Mat.işç daxil"</formula>
    </cfRule>
    <cfRule type="expression" dxfId="2" priority="19" stopIfTrue="1">
      <formula>D7="İş Yox"</formula>
    </cfRule>
    <cfRule type="expression" dxfId="1" priority="22" stopIfTrue="1">
      <formula>D7="Mat."</formula>
    </cfRule>
  </conditionalFormatting>
  <conditionalFormatting sqref="K7:K34">
    <cfRule type="expression" dxfId="0" priority="650" stopIfTrue="1">
      <formula>D7="İş Yok"</formula>
    </cfRule>
    <cfRule type="dataBar" priority="651">
      <dataBar>
        <cfvo type="min"/>
        <cfvo type="max"/>
        <color theme="2" tint="-0.249977111117893"/>
      </dataBar>
    </cfRule>
  </conditionalFormatting>
  <dataValidations count="2">
    <dataValidation type="list" allowBlank="1" showInputMessage="1" sqref="E7:E34" xr:uid="{00000000-0002-0000-0000-000000000000}">
      <formula1>"m²,m³,pm,kg,ton,əd,set,litr,m,dəst"</formula1>
    </dataValidation>
    <dataValidation type="list" allowBlank="1" showInputMessage="1" showErrorMessage="1" sqref="D7:D34" xr:uid="{00000000-0002-0000-0000-000001000000}">
      <formula1>"Mat.+İşç.,Mat.,İşç.,Mat. Sifarişçi,İş Yox,Mat.işç daxil"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Rabitə və Yanğın siqnal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Gulbadam Tamrazova</cp:lastModifiedBy>
  <dcterms:created xsi:type="dcterms:W3CDTF">2026-03-12T10:35:52Z</dcterms:created>
  <dcterms:modified xsi:type="dcterms:W3CDTF">2026-03-16T09:14:59Z</dcterms:modified>
</cp:coreProperties>
</file>