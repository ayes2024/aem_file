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B5F004B5-481F-4BF1-98B4-88649767F039}" xr6:coauthVersionLast="47" xr6:coauthVersionMax="47" xr10:uidLastSave="{00000000-0000-0000-0000-000000000000}"/>
  <bookViews>
    <workbookView xWindow="-108" yWindow="-108" windowWidth="23256" windowHeight="12456" xr2:uid="{17BCC065-E66C-4F53-9894-44E1C830BDA5}"/>
  </bookViews>
  <sheets>
    <sheet name="Sheet1" sheetId="3" r:id="rId1"/>
  </sheets>
  <definedNames>
    <definedName name="_xlnm.Print_Area" localSheetId="0">Sheet1!$B$3:$I$11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" i="3" l="1"/>
  <c r="H15" i="3"/>
  <c r="H16" i="3"/>
  <c r="H17" i="3"/>
  <c r="H18" i="3"/>
  <c r="H20" i="3" s="1"/>
  <c r="H19" i="3"/>
  <c r="H21" i="3"/>
  <c r="H22" i="3"/>
  <c r="H23" i="3"/>
  <c r="I29" i="3" l="1"/>
  <c r="I30" i="3" l="1"/>
  <c r="I31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<sst xmlns="http://schemas.openxmlformats.org/spreadsheetml/2006/main" count="44" uniqueCount="39">
  <si>
    <t>Təklif tarixi:</t>
  </si>
  <si>
    <t>Təklifin qüvvədə olma tarixi:</t>
  </si>
  <si>
    <t>Ödəniş şərti:</t>
  </si>
  <si>
    <t>Əlavə qeyd (varsa):</t>
  </si>
  <si>
    <t>Ölçü vahidi</t>
  </si>
  <si>
    <t>Miqdarı</t>
  </si>
  <si>
    <t>Vahid qiyməti
(ƏDV xaric)</t>
  </si>
  <si>
    <t>Məbləğ
(ƏDV xaric)</t>
  </si>
  <si>
    <t>T
Ə
L
Ə
B
L
Ə
R</t>
  </si>
  <si>
    <t>Valyuta</t>
  </si>
  <si>
    <t>Sorğu iştirakçısının adı:</t>
  </si>
  <si>
    <t>ƏDV 18%</t>
  </si>
  <si>
    <t>Cəmi</t>
  </si>
  <si>
    <t>Malın/Xidmətin/İşin adı</t>
  </si>
  <si>
    <t>Çatdırılma/icra yeri:</t>
  </si>
  <si>
    <t>Təklifin təsviri
(əgər fərqlidirsə)</t>
  </si>
  <si>
    <t>Əlaqə məlumatları:</t>
  </si>
  <si>
    <t>Qarantiya/zəmanət müddəti:</t>
  </si>
  <si>
    <t>Çatdırılma/icra müddəti (təqvim günü):</t>
  </si>
  <si>
    <t>No</t>
  </si>
  <si>
    <t>Yekun məbləğ (ƏDV daxil)</t>
  </si>
  <si>
    <t>AZN</t>
  </si>
  <si>
    <t>ƏDV ödəyicisidir</t>
  </si>
  <si>
    <r>
      <rPr>
        <b/>
        <sz val="11"/>
        <color theme="1"/>
        <rFont val="Calibri"/>
        <family val="2"/>
        <scheme val="minor"/>
      </rPr>
      <t>Zaqatala rayonu</t>
    </r>
    <r>
      <rPr>
        <sz val="11"/>
        <color theme="1"/>
        <rFont val="Calibri"/>
        <family val="2"/>
        <charset val="186"/>
        <scheme val="minor"/>
      </rPr>
      <t xml:space="preserve"> və ya</t>
    </r>
    <r>
      <rPr>
        <b/>
        <sz val="11"/>
        <color theme="1"/>
        <rFont val="Calibri"/>
        <family val="2"/>
        <scheme val="minor"/>
      </rPr>
      <t xml:space="preserve"> Binə TM üz-üzə Bakı anbarına</t>
    </r>
    <r>
      <rPr>
        <sz val="11"/>
        <color theme="1"/>
        <rFont val="Calibri"/>
        <family val="2"/>
        <charset val="186"/>
        <scheme val="minor"/>
      </rPr>
      <t xml:space="preserve">
Çatdırlma üçün əlavə xərc tələb edilirsə xahiş edirəm qeyd edəsiniz.</t>
    </r>
  </si>
  <si>
    <t>Spesifikasiya/Texniki parametrlər
(ölçülər, material, dizayn və s.)</t>
  </si>
  <si>
    <t>LEHIM  APARATI "PRO'SKIT SI-124B-30”30VATT</t>
  </si>
  <si>
    <t>LEHIM APARATI TEMPERATUR TƏNZIMLƏMƏLI "PRO'SKIT Sİ-186N "60VATT</t>
  </si>
  <si>
    <t>LEHIM APARATI "PRO'SKIT SI-124B-100” 100VATT </t>
  </si>
  <si>
    <t>LEHIM NASOSU "PRO’SKIT 331 H"</t>
  </si>
  <si>
    <t>LEHIM SÖKMƏ HÖRGÜSÜ "PRO'SKIT DP-033B"</t>
  </si>
  <si>
    <t>LEHIM TELI "PRO’SKIT 8PK-033A-L"</t>
  </si>
  <si>
    <t>Şəkilləri və texniki göstəriciləri əlavə edilməlidiir</t>
  </si>
  <si>
    <t>PR №6558 QİYMƏT SORĞUSU</t>
  </si>
  <si>
    <t>8PK-S120NB-30 LEHİMLƏYİCİ 30WT</t>
  </si>
  <si>
    <t>SI-253B Digital Control Soldering Iron</t>
  </si>
  <si>
    <t>SI-124B-100 LEHMLƏYİCİ 100W</t>
  </si>
  <si>
    <t xml:space="preserve">SS-331B LCD Desoldering Station </t>
  </si>
  <si>
    <t>DP-033B ANTI-HOT DESOLDERING WICK</t>
  </si>
  <si>
    <t>8PK-033K Solder 63% 250g, Dia 1.0mm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</si>
</sst>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₼&quot;_-;\-* #,##0.00\ &quot;₼&quot;_-;_-* &quot;-&quot;??\ &quot;₼&quot;_-;_-@_-"/>
  </numFmts>
  <fonts count="15" x14ac:knownFonts="1">
    <font>
      <sz val="11"/>
      <color theme="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0"/>
      <name val="Arial"/>
      <family val="2"/>
      <charset val="162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186"/>
      <scheme val="minor"/>
    </font>
    <font>
      <b/>
      <sz val="14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EB68C"/>
        <bgColor indexed="64"/>
      </patternFill>
    </fill>
    <fill>
      <patternFill patternType="solid">
        <fgColor rgb="FFEBE9D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" fillId="3" borderId="6" xfId="0" applyFont="1" applyFill="1" applyBorder="1" applyAlignment="1" applyProtection="1">
      <alignment horizont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164" fontId="3" fillId="3" borderId="9" xfId="2" applyFont="1" applyFill="1" applyBorder="1" applyAlignment="1">
      <alignment horizontal="center"/>
    </xf>
    <xf numFmtId="164" fontId="3" fillId="3" borderId="16" xfId="2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12" fillId="4" borderId="9" xfId="0" applyFont="1" applyFill="1" applyBorder="1" applyAlignment="1" applyProtection="1">
      <alignment horizontal="center" vertical="center"/>
      <protection locked="0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164" fontId="11" fillId="4" borderId="8" xfId="2" applyFont="1" applyFill="1" applyBorder="1" applyAlignment="1" applyProtection="1">
      <alignment horizontal="center" vertical="center"/>
      <protection locked="0"/>
    </xf>
    <xf numFmtId="164" fontId="11" fillId="0" borderId="8" xfId="2" applyFont="1" applyBorder="1" applyAlignment="1">
      <alignment horizontal="center" vertical="center"/>
    </xf>
    <xf numFmtId="0" fontId="13" fillId="0" borderId="31" xfId="3" applyFont="1" applyBorder="1" applyAlignment="1">
      <alignment horizontal="left" vertical="center" wrapText="1"/>
    </xf>
    <xf numFmtId="0" fontId="14" fillId="0" borderId="31" xfId="3" applyFont="1" applyBorder="1" applyAlignment="1">
      <alignment horizontal="left" vertical="center" wrapText="1"/>
    </xf>
    <xf numFmtId="0" fontId="13" fillId="0" borderId="31" xfId="3" applyFont="1" applyBorder="1" applyAlignment="1">
      <alignment vertical="top" wrapText="1"/>
    </xf>
    <xf numFmtId="0" fontId="13" fillId="0" borderId="31" xfId="3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4" borderId="9" xfId="0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9" fillId="5" borderId="28" xfId="0" applyFont="1" applyFill="1" applyBorder="1" applyAlignment="1" applyProtection="1">
      <alignment horizontal="center" vertical="center"/>
      <protection locked="0"/>
    </xf>
    <xf numFmtId="0" fontId="9" fillId="5" borderId="29" xfId="0" applyFont="1" applyFill="1" applyBorder="1" applyAlignment="1" applyProtection="1">
      <alignment horizontal="center" vertic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0" fillId="6" borderId="11" xfId="0" applyFill="1" applyBorder="1" applyAlignment="1" applyProtection="1">
      <alignment horizontal="center"/>
      <protection locked="0"/>
    </xf>
    <xf numFmtId="0" fontId="0" fillId="6" borderId="13" xfId="0" applyFill="1" applyBorder="1" applyAlignment="1" applyProtection="1">
      <alignment horizontal="center"/>
      <protection locked="0"/>
    </xf>
    <xf numFmtId="0" fontId="0" fillId="6" borderId="17" xfId="0" applyFill="1" applyBorder="1" applyAlignment="1" applyProtection="1">
      <alignment horizontal="center"/>
      <protection locked="0"/>
    </xf>
    <xf numFmtId="0" fontId="8" fillId="6" borderId="11" xfId="0" applyFont="1" applyFill="1" applyBorder="1" applyAlignment="1" applyProtection="1">
      <alignment horizontal="center" wrapText="1"/>
      <protection locked="0"/>
    </xf>
    <xf numFmtId="0" fontId="0" fillId="6" borderId="14" xfId="0" applyFill="1" applyBorder="1" applyAlignment="1" applyProtection="1">
      <alignment horizontal="center"/>
      <protection locked="0"/>
    </xf>
    <xf numFmtId="0" fontId="0" fillId="6" borderId="15" xfId="0" applyFill="1" applyBorder="1" applyAlignment="1" applyProtection="1">
      <alignment horizontal="center"/>
      <protection locked="0"/>
    </xf>
    <xf numFmtId="0" fontId="0" fillId="6" borderId="16" xfId="0" applyFill="1" applyBorder="1" applyAlignment="1" applyProtection="1">
      <alignment horizontal="center"/>
      <protection locked="0"/>
    </xf>
    <xf numFmtId="0" fontId="0" fillId="6" borderId="18" xfId="0" applyFill="1" applyBorder="1" applyAlignment="1" applyProtection="1">
      <alignment horizontal="center"/>
      <protection locked="0"/>
    </xf>
    <xf numFmtId="0" fontId="0" fillId="6" borderId="19" xfId="0" applyFill="1" applyBorder="1" applyAlignment="1" applyProtection="1">
      <alignment horizontal="center"/>
      <protection locked="0"/>
    </xf>
    <xf numFmtId="0" fontId="0" fillId="6" borderId="20" xfId="0" applyFill="1" applyBorder="1" applyAlignment="1" applyProtection="1">
      <alignment horizontal="center"/>
      <protection locked="0"/>
    </xf>
    <xf numFmtId="0" fontId="0" fillId="0" borderId="1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</cellXfs>
  <cellStyles count="4">
    <cellStyle name="Currency" xfId="2" builtinId="4"/>
    <cellStyle name="Normal" xfId="0" builtinId="0"/>
    <cellStyle name="Normal 6" xfId="1" xr:uid="{2D3F3026-430B-457B-BA2C-0E5429BF2D86}"/>
    <cellStyle name="Normal_Sheet1" xfId="3" xr:uid="{C7CD4FA3-94C1-4129-A49C-7445611C7441}"/>
  </cellStyles>
  <dxfs count="0"/>
  <tableStyles count="0" defaultTableStyle="TableStyleMedium2" defaultPivotStyle="PivotStyleLight16"/>
  <colors>
    <mruColors>
      <color rgb="FFDBD8C3"/>
      <color rgb="FFD4D0B6"/>
      <color rgb="FFEBE9DD"/>
      <color rgb="FFE5E3D3"/>
      <color rgb="FFC4BD97"/>
      <color rgb="FFBEB68C"/>
      <color rgb="FFFFFFCC"/>
      <color rgb="FFFFB9B9"/>
      <color rgb="FFFF797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13" Type="http://schemas.microsoft.com/office/2022/10/relationships/richValueRel" Target="richData/richValueRel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0677-C996-43C1-9139-1A4F947716C4}">
  <sheetPr>
    <pageSetUpPr autoPageBreaks="0"/>
  </sheetPr>
  <dimension ref="B1:J31"/>
  <sheetViews>
    <sheetView showGridLines="0" tabSelected="1" zoomScale="85" zoomScaleNormal="85" workbookViewId="0">
      <selection activeCell="L17" sqref="L17"/>
    </sheetView>
  </sheetViews>
  <sheetFormatPr defaultRowHeight="14.4" x14ac:dyDescent="0.3"/>
  <cols>
    <col min="1" max="1" width="4.88671875" style="1" customWidth="1"/>
    <col min="2" max="2" width="11.21875" style="1" customWidth="1"/>
    <col min="3" max="3" width="39" style="1" bestFit="1" customWidth="1"/>
    <col min="4" max="4" width="35.5546875" style="1" customWidth="1"/>
    <col min="5" max="5" width="13.5546875" style="1" customWidth="1"/>
    <col min="6" max="6" width="10.6640625" style="1" customWidth="1"/>
    <col min="7" max="7" width="13.44140625" style="1" customWidth="1"/>
    <col min="8" max="8" width="19.33203125" style="1" customWidth="1"/>
    <col min="9" max="9" width="26.44140625" style="1" customWidth="1"/>
    <col min="10" max="10" width="17.88671875" style="1" customWidth="1"/>
    <col min="11" max="16384" width="8.88671875" style="1"/>
  </cols>
  <sheetData>
    <row r="1" spans="2:9" ht="15" thickBot="1" x14ac:dyDescent="0.35"/>
    <row r="2" spans="2:9" ht="42" customHeight="1" thickBot="1" x14ac:dyDescent="0.35">
      <c r="B2" s="38" t="s">
        <v>32</v>
      </c>
      <c r="C2" s="39"/>
      <c r="D2" s="39"/>
      <c r="E2" s="39"/>
      <c r="F2" s="39"/>
      <c r="G2" s="39"/>
      <c r="H2" s="39"/>
      <c r="I2" s="40"/>
    </row>
    <row r="3" spans="2:9" ht="23.4" customHeight="1" x14ac:dyDescent="0.3">
      <c r="B3" s="53" t="e" vm="1">
        <v>#VALUE!</v>
      </c>
      <c r="C3" s="54"/>
      <c r="D3" s="59" t="s">
        <v>10</v>
      </c>
      <c r="E3" s="60"/>
      <c r="F3" s="48"/>
      <c r="G3" s="49"/>
      <c r="H3" s="49"/>
      <c r="I3" s="50"/>
    </row>
    <row r="4" spans="2:9" x14ac:dyDescent="0.3">
      <c r="B4" s="55"/>
      <c r="C4" s="56"/>
      <c r="D4" s="28" t="s">
        <v>16</v>
      </c>
      <c r="E4" s="29"/>
      <c r="F4" s="41"/>
      <c r="G4" s="42"/>
      <c r="H4" s="42"/>
      <c r="I4" s="43"/>
    </row>
    <row r="5" spans="2:9" x14ac:dyDescent="0.3">
      <c r="B5" s="55"/>
      <c r="C5" s="56"/>
      <c r="D5" s="28" t="s">
        <v>0</v>
      </c>
      <c r="E5" s="29"/>
      <c r="F5" s="41"/>
      <c r="G5" s="42"/>
      <c r="H5" s="42"/>
      <c r="I5" s="43"/>
    </row>
    <row r="6" spans="2:9" x14ac:dyDescent="0.3">
      <c r="B6" s="55"/>
      <c r="C6" s="56"/>
      <c r="D6" s="28" t="s">
        <v>1</v>
      </c>
      <c r="E6" s="29"/>
      <c r="F6" s="41"/>
      <c r="G6" s="42"/>
      <c r="H6" s="42"/>
      <c r="I6" s="43"/>
    </row>
    <row r="7" spans="2:9" x14ac:dyDescent="0.3">
      <c r="B7" s="55"/>
      <c r="C7" s="56"/>
      <c r="D7" s="28" t="s">
        <v>2</v>
      </c>
      <c r="E7" s="29"/>
      <c r="F7" s="41"/>
      <c r="G7" s="42"/>
      <c r="H7" s="42"/>
      <c r="I7" s="43"/>
    </row>
    <row r="8" spans="2:9" x14ac:dyDescent="0.3">
      <c r="B8" s="55"/>
      <c r="C8" s="56"/>
      <c r="D8" s="28" t="s">
        <v>17</v>
      </c>
      <c r="E8" s="29"/>
      <c r="F8" s="41"/>
      <c r="G8" s="42"/>
      <c r="H8" s="42"/>
      <c r="I8" s="43"/>
    </row>
    <row r="9" spans="2:9" ht="15.6" customHeight="1" x14ac:dyDescent="0.3">
      <c r="B9" s="55"/>
      <c r="C9" s="56"/>
      <c r="D9" s="28" t="s">
        <v>18</v>
      </c>
      <c r="E9" s="29"/>
      <c r="F9" s="41"/>
      <c r="G9" s="42"/>
      <c r="H9" s="42"/>
      <c r="I9" s="43"/>
    </row>
    <row r="10" spans="2:9" ht="35.4" customHeight="1" x14ac:dyDescent="0.3">
      <c r="B10" s="55"/>
      <c r="C10" s="56"/>
      <c r="D10" s="28" t="s">
        <v>14</v>
      </c>
      <c r="E10" s="29"/>
      <c r="F10" s="44" t="s">
        <v>23</v>
      </c>
      <c r="G10" s="42"/>
      <c r="H10" s="42"/>
      <c r="I10" s="43"/>
    </row>
    <row r="11" spans="2:9" ht="21" customHeight="1" thickBot="1" x14ac:dyDescent="0.35">
      <c r="B11" s="57"/>
      <c r="C11" s="58"/>
      <c r="D11" s="51" t="s">
        <v>3</v>
      </c>
      <c r="E11" s="52"/>
      <c r="F11" s="45"/>
      <c r="G11" s="46"/>
      <c r="H11" s="46"/>
      <c r="I11" s="47"/>
    </row>
    <row r="12" spans="2:9" ht="15" thickBot="1" x14ac:dyDescent="0.35"/>
    <row r="13" spans="2:9" ht="55.2" customHeight="1" x14ac:dyDescent="0.3">
      <c r="B13" s="4" t="s">
        <v>19</v>
      </c>
      <c r="C13" s="5" t="s">
        <v>13</v>
      </c>
      <c r="D13" s="5" t="s">
        <v>24</v>
      </c>
      <c r="E13" s="6" t="s">
        <v>4</v>
      </c>
      <c r="F13" s="6" t="s">
        <v>5</v>
      </c>
      <c r="G13" s="2" t="s">
        <v>6</v>
      </c>
      <c r="H13" s="5" t="s">
        <v>7</v>
      </c>
      <c r="I13" s="3" t="s">
        <v>15</v>
      </c>
    </row>
    <row r="14" spans="2:9" ht="41.4" customHeight="1" x14ac:dyDescent="0.3">
      <c r="B14" s="16">
        <v>1</v>
      </c>
      <c r="C14" s="22" t="s">
        <v>25</v>
      </c>
      <c r="D14" s="23" t="s">
        <v>33</v>
      </c>
      <c r="E14" s="24"/>
      <c r="F14" s="25">
        <v>1</v>
      </c>
      <c r="G14" s="20">
        <v>16.45</v>
      </c>
      <c r="H14" s="21">
        <v>16.45</v>
      </c>
      <c r="I14" s="27" t="s">
        <v>31</v>
      </c>
    </row>
    <row r="15" spans="2:9" ht="42" customHeight="1" x14ac:dyDescent="0.3">
      <c r="B15" s="16">
        <v>2</v>
      </c>
      <c r="C15" s="26" t="s">
        <v>26</v>
      </c>
      <c r="D15" s="15" t="s">
        <v>34</v>
      </c>
      <c r="E15" s="19"/>
      <c r="F15" s="19">
        <v>1</v>
      </c>
      <c r="G15" s="20">
        <v>37.5</v>
      </c>
      <c r="H15" s="21">
        <f t="shared" ref="H15:H23" si="0">G15*F15</f>
        <v>37.5</v>
      </c>
      <c r="I15" s="27" t="s">
        <v>31</v>
      </c>
    </row>
    <row r="16" spans="2:9" ht="38.4" customHeight="1" x14ac:dyDescent="0.3">
      <c r="B16" s="16">
        <v>3</v>
      </c>
      <c r="C16" s="26" t="s">
        <v>27</v>
      </c>
      <c r="D16" s="15" t="s">
        <v>35</v>
      </c>
      <c r="E16" s="19"/>
      <c r="F16" s="19">
        <v>1</v>
      </c>
      <c r="G16" s="20">
        <v>30.49</v>
      </c>
      <c r="H16" s="21">
        <f t="shared" si="0"/>
        <v>30.49</v>
      </c>
      <c r="I16" s="27" t="s">
        <v>31</v>
      </c>
    </row>
    <row r="17" spans="2:10" ht="49.8" customHeight="1" x14ac:dyDescent="0.3">
      <c r="B17" s="16">
        <v>4</v>
      </c>
      <c r="C17" s="18" t="s">
        <v>28</v>
      </c>
      <c r="D17" s="15" t="s">
        <v>36</v>
      </c>
      <c r="E17" s="19"/>
      <c r="F17" s="19">
        <v>1</v>
      </c>
      <c r="G17" s="20">
        <v>223.6</v>
      </c>
      <c r="H17" s="21">
        <f t="shared" si="0"/>
        <v>223.6</v>
      </c>
      <c r="I17" s="27" t="s">
        <v>31</v>
      </c>
    </row>
    <row r="18" spans="2:10" ht="40.200000000000003" customHeight="1" x14ac:dyDescent="0.3">
      <c r="B18" s="16">
        <v>5</v>
      </c>
      <c r="C18" s="26" t="s">
        <v>29</v>
      </c>
      <c r="D18" s="15" t="s">
        <v>37</v>
      </c>
      <c r="E18" s="19"/>
      <c r="F18" s="19">
        <v>2</v>
      </c>
      <c r="G18" s="20">
        <v>4.53</v>
      </c>
      <c r="H18" s="21">
        <f t="shared" si="0"/>
        <v>9.06</v>
      </c>
      <c r="I18" s="27" t="s">
        <v>31</v>
      </c>
    </row>
    <row r="19" spans="2:10" ht="45" customHeight="1" x14ac:dyDescent="0.3">
      <c r="B19" s="16">
        <v>6</v>
      </c>
      <c r="C19" s="18" t="s">
        <v>30</v>
      </c>
      <c r="D19" s="15" t="s">
        <v>38</v>
      </c>
      <c r="E19" s="19"/>
      <c r="F19" s="19">
        <v>2</v>
      </c>
      <c r="G19" s="20">
        <v>43.2</v>
      </c>
      <c r="H19" s="21">
        <f t="shared" si="0"/>
        <v>86.4</v>
      </c>
      <c r="I19" s="27" t="s">
        <v>31</v>
      </c>
    </row>
    <row r="20" spans="2:10" x14ac:dyDescent="0.3">
      <c r="B20" s="16">
        <v>7</v>
      </c>
      <c r="C20" s="18"/>
      <c r="D20" s="15"/>
      <c r="E20" s="19"/>
      <c r="F20" s="19"/>
      <c r="G20" s="20">
        <f>SUM(G14:G19)</f>
        <v>355.76999999999992</v>
      </c>
      <c r="H20" s="21">
        <f>SUM(H14:H19)</f>
        <v>403.5</v>
      </c>
      <c r="I20" s="17"/>
    </row>
    <row r="21" spans="2:10" x14ac:dyDescent="0.3">
      <c r="B21" s="16">
        <v>8</v>
      </c>
      <c r="C21" s="18"/>
      <c r="D21" s="15"/>
      <c r="E21" s="19"/>
      <c r="F21" s="19"/>
      <c r="G21" s="20">
        <v>0</v>
      </c>
      <c r="H21" s="21">
        <f t="shared" si="0"/>
        <v>0</v>
      </c>
      <c r="I21" s="17"/>
    </row>
    <row r="22" spans="2:10" x14ac:dyDescent="0.3">
      <c r="B22" s="16">
        <v>9</v>
      </c>
      <c r="C22" s="18"/>
      <c r="D22" s="15"/>
      <c r="E22" s="19"/>
      <c r="F22" s="19"/>
      <c r="G22" s="20">
        <v>0</v>
      </c>
      <c r="H22" s="21">
        <f t="shared" si="0"/>
        <v>0</v>
      </c>
      <c r="I22" s="17"/>
    </row>
    <row r="23" spans="2:10" x14ac:dyDescent="0.3">
      <c r="B23" s="16">
        <v>10</v>
      </c>
      <c r="C23" s="18"/>
      <c r="D23" s="14"/>
      <c r="E23" s="19"/>
      <c r="F23" s="19"/>
      <c r="G23" s="20">
        <v>0</v>
      </c>
      <c r="H23" s="21">
        <f t="shared" si="0"/>
        <v>0</v>
      </c>
      <c r="I23" s="17"/>
    </row>
    <row r="26" spans="2:10" ht="15" thickBot="1" x14ac:dyDescent="0.35"/>
    <row r="27" spans="2:10" ht="42" customHeight="1" thickBot="1" x14ac:dyDescent="0.35">
      <c r="B27" s="30" t="s">
        <v>8</v>
      </c>
      <c r="C27" s="34"/>
      <c r="D27" s="35"/>
    </row>
    <row r="28" spans="2:10" ht="35.4" customHeight="1" thickBot="1" x14ac:dyDescent="0.35">
      <c r="B28" s="31"/>
      <c r="C28" s="36"/>
      <c r="D28" s="37"/>
      <c r="H28" s="7" t="s">
        <v>9</v>
      </c>
      <c r="I28" s="10" t="s">
        <v>21</v>
      </c>
    </row>
    <row r="29" spans="2:10" ht="37.799999999999997" customHeight="1" thickBot="1" x14ac:dyDescent="0.35">
      <c r="B29" s="32"/>
      <c r="C29" s="36"/>
      <c r="D29" s="37"/>
      <c r="H29" s="8" t="s">
        <v>12</v>
      </c>
      <c r="I29" s="12" t="e">
        <f>SUM(#REF!)</f>
        <v>#REF!</v>
      </c>
    </row>
    <row r="30" spans="2:10" ht="36" customHeight="1" thickBot="1" x14ac:dyDescent="0.35">
      <c r="B30" s="32"/>
      <c r="C30" s="36"/>
      <c r="D30" s="37"/>
      <c r="H30" s="8" t="s">
        <v>11</v>
      </c>
      <c r="I30" s="12" t="e">
        <f>IF(J30="ƏDV ödəyicisidir", I29*0.18, 0)</f>
        <v>#REF!</v>
      </c>
      <c r="J30" s="11" t="s">
        <v>22</v>
      </c>
    </row>
    <row r="31" spans="2:10" ht="41.4" customHeight="1" thickBot="1" x14ac:dyDescent="0.35">
      <c r="B31" s="33"/>
      <c r="C31" s="36"/>
      <c r="D31" s="37"/>
      <c r="H31" s="9" t="s">
        <v>20</v>
      </c>
      <c r="I31" s="13" t="e">
        <f>SUM(I29:I30)</f>
        <v>#REF!</v>
      </c>
    </row>
  </sheetData>
  <dataConsolidate/>
  <mergeCells count="26">
    <mergeCell ref="B2:I2"/>
    <mergeCell ref="F9:I9"/>
    <mergeCell ref="F10:I10"/>
    <mergeCell ref="F11:I11"/>
    <mergeCell ref="F3:I3"/>
    <mergeCell ref="F4:I4"/>
    <mergeCell ref="F5:I5"/>
    <mergeCell ref="F6:I6"/>
    <mergeCell ref="F7:I7"/>
    <mergeCell ref="F8:I8"/>
    <mergeCell ref="D10:E10"/>
    <mergeCell ref="D11:E11"/>
    <mergeCell ref="B3:C11"/>
    <mergeCell ref="D3:E3"/>
    <mergeCell ref="D4:E4"/>
    <mergeCell ref="D5:E5"/>
    <mergeCell ref="D6:E6"/>
    <mergeCell ref="D7:E7"/>
    <mergeCell ref="D8:E8"/>
    <mergeCell ref="D9:E9"/>
    <mergeCell ref="B27:B31"/>
    <mergeCell ref="C27:D27"/>
    <mergeCell ref="C28:D28"/>
    <mergeCell ref="C29:D29"/>
    <mergeCell ref="C30:D30"/>
    <mergeCell ref="C31:D31"/>
  </mergeCells>
  <dataValidations count="2">
    <dataValidation type="list" allowBlank="1" showInputMessage="1" showErrorMessage="1" sqref="I28" xr:uid="{34F31A4B-FB1B-47D7-B3B0-A7D08FAE9D1B}">
      <formula1>"AZN, USD, EUR"</formula1>
    </dataValidation>
    <dataValidation type="list" allowBlank="1" showInputMessage="1" showErrorMessage="1" sqref="J30" xr:uid="{4620946E-93E3-4C04-B4CE-983A375DBB79}">
      <formula1>"ƏDV ödəyicisidir, ƏDV ödəyicisi deyil"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EEE65CA4008334E87D63BAAF01760E4" ma:contentTypeVersion="15" ma:contentTypeDescription="Yeni belge oluşturun." ma:contentTypeScope="" ma:versionID="4907541065c91ba16746f703f46e5469">
  <xsd:schema xmlns:xsd="http://www.w3.org/2001/XMLSchema" xmlns:xs="http://www.w3.org/2001/XMLSchema" xmlns:p="http://schemas.microsoft.com/office/2006/metadata/properties" xmlns:ns2="96a59eeb-e0ad-416d-abbe-d727a000eb69" xmlns:ns3="70bc928d-8605-4085-810e-35ce54e50623" targetNamespace="http://schemas.microsoft.com/office/2006/metadata/properties" ma:root="true" ma:fieldsID="bbc53c182edfa39f80e899051c9321fb" ns2:_="" ns3:_="">
    <xsd:import namespace="96a59eeb-e0ad-416d-abbe-d727a000eb69"/>
    <xsd:import namespace="70bc928d-8605-4085-810e-35ce54e50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59eeb-e0ad-416d-abbe-d727a000e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Resim Etiketleri" ma:readOnly="false" ma:fieldId="{5cf76f15-5ced-4ddc-b409-7134ff3c332f}" ma:taxonomyMulti="true" ma:sspId="56dc6538-091f-494e-970e-a7fb32142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c928d-8605-4085-810e-35ce54e5062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dd29ce5-dee0-4551-978a-bdc593b7468d}" ma:internalName="TaxCatchAll" ma:showField="CatchAllData" ma:web="70bc928d-8605-4085-810e-35ce54e506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a59eeb-e0ad-416d-abbe-d727a000eb69">
      <Terms xmlns="http://schemas.microsoft.com/office/infopath/2007/PartnerControls"/>
    </lcf76f155ced4ddcb4097134ff3c332f>
    <TaxCatchAll xmlns="70bc928d-8605-4085-810e-35ce54e50623" xsi:nil="true"/>
  </documentManagement>
</p:properties>
</file>

<file path=customXml/itemProps1.xml><?xml version="1.0" encoding="utf-8"?>
<ds:datastoreItem xmlns:ds="http://schemas.openxmlformats.org/officeDocument/2006/customXml" ds:itemID="{D0730254-40BE-48D1-8C05-60498BEF1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59eeb-e0ad-416d-abbe-d727a000eb69"/>
    <ds:schemaRef ds:uri="70bc928d-8605-4085-810e-35ce54e50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FD0497-8902-4411-A15B-58CB08AB5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5E450-8CBD-483C-AEB7-AA1773A54C45}">
  <ds:schemaRefs>
    <ds:schemaRef ds:uri="http://schemas.microsoft.com/office/2006/metadata/properties"/>
    <ds:schemaRef ds:uri="http://schemas.microsoft.com/office/infopath/2007/PartnerControls"/>
    <ds:schemaRef ds:uri="96a59eeb-e0ad-416d-abbe-d727a000eb69"/>
    <ds:schemaRef ds:uri="70bc928d-8605-4085-810e-35ce54e50623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20793278-594e-4340-85f0-7339b81ef4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Ravil.Alili@azerlotereya.com</dc:creator>
  <cp:lastModifiedBy>Zeyneb Alamova</cp:lastModifiedBy>
  <cp:lastPrinted>2022-09-11T12:04:21Z</cp:lastPrinted>
  <dcterms:created xsi:type="dcterms:W3CDTF">2022-09-11T07:26:39Z</dcterms:created>
  <dcterms:modified xsi:type="dcterms:W3CDTF">2026-05-26T13:08:36Z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2023-06-19T06:34:39Z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20793278-594e-4340-85f0-7339b81ef4e7</vt:lpwstr>
  </property>
  <property fmtid="{D5CDD505-2E9C-101B-9397-08002B2CF9AE}" pid="7" name="MSIP_Label_defa4170-0d19-0005-0004-bc88714345d2_ActionId">
    <vt:lpwstr>8ca4f1fd-5e91-4dc0-9186-234862d2c3b1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0x010100FEEE65CA4008334E87D63BAAF01760E4</vt:lpwstr>
  </property>
  <property fmtid="{D5CDD505-2E9C-101B-9397-08002B2CF9AE}" pid="10" name="MediaServiceImageTags">
    <vt:lpwstr/>
  </property>
</Properties>
</file>