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BE68D91D-1D05-4444-B27B-02B0819306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əklif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7" l="1"/>
  <c r="I9" i="7"/>
  <c r="I7" i="7"/>
  <c r="I6" i="7"/>
  <c r="I2" i="7"/>
  <c r="I3" i="7"/>
  <c r="J15" i="7" l="1"/>
  <c r="J16" i="7" s="1"/>
  <c r="J17" i="7" s="1"/>
</calcChain>
</file>

<file path=xl/sharedStrings.xml><?xml version="1.0" encoding="utf-8"?>
<sst xmlns="http://schemas.openxmlformats.org/spreadsheetml/2006/main" count="59" uniqueCount="44">
  <si>
    <t>Malın təhvili müddəti</t>
  </si>
  <si>
    <t>Ölçü vahidi</t>
  </si>
  <si>
    <t>№</t>
  </si>
  <si>
    <t xml:space="preserve">  Məbləğ:</t>
  </si>
  <si>
    <t>ƏDV :</t>
  </si>
  <si>
    <t>Yekun :</t>
  </si>
  <si>
    <t>Unit price
Qiyməti, AZN</t>
  </si>
  <si>
    <t>Total price
Məbləğ, AZN</t>
  </si>
  <si>
    <t>Malın adı</t>
  </si>
  <si>
    <t>Model</t>
  </si>
  <si>
    <t>Parametr</t>
  </si>
  <si>
    <t>Miqdarı</t>
  </si>
  <si>
    <t>Rack Cabin</t>
  </si>
  <si>
    <t>12U</t>
  </si>
  <si>
    <t>Rack cabinet 19", 12U</t>
  </si>
  <si>
    <t>Ədəd</t>
  </si>
  <si>
    <t>21U</t>
  </si>
  <si>
    <t>Rack cabinet 19", 21U</t>
  </si>
  <si>
    <t>Fan Module with thermostat for Rack Cabinet</t>
  </si>
  <si>
    <t>for 21U Rack Cabinet</t>
  </si>
  <si>
    <t>for 12U Rack Cabinet</t>
  </si>
  <si>
    <t>PDU</t>
  </si>
  <si>
    <t>19 Inch Rack PDU euro 9 Sockets</t>
  </si>
  <si>
    <t>Pigtail</t>
  </si>
  <si>
    <t>Single Mode LC Simplex, OS2, 5 м</t>
  </si>
  <si>
    <t>Fiber Optic Splice Protection Sleeve (Heat Shrink)</t>
  </si>
  <si>
    <t>Ethernet Cable</t>
  </si>
  <si>
    <t>Cat 6 F/UTP LSZH Horizontal Cable</t>
  </si>
  <si>
    <t>metr</t>
  </si>
  <si>
    <t>Rj45 Cat6 Keystone</t>
  </si>
  <si>
    <t>Digitus DN-93603</t>
  </si>
  <si>
    <t>Mosaic™ - RJ45 socket category 6 F/UTP 1 module white</t>
  </si>
  <si>
    <t>Ethernet Cable Extender</t>
  </si>
  <si>
    <t>TT29</t>
  </si>
  <si>
    <t>Coaxial Cable</t>
  </si>
  <si>
    <t>RG6, 75Om</t>
  </si>
  <si>
    <t>F-type Inline Coupler (female–female)</t>
  </si>
  <si>
    <t>F-Type Compression Connector for RG6</t>
  </si>
  <si>
    <t>TƏKLİF OLUNAN MƏHSULUN ADI</t>
  </si>
  <si>
    <t>VOLTAM - VR-6412 - 12U Rack Cabin 600x450x650 mm Wall mounted</t>
  </si>
  <si>
    <t>VOLTAM - VR-6022 - Rack Cabin 22U 600x1000 mm (4 x fans with plug 1 x shelf 2 x handle lock 1 x L Wrench, 1 x set key 4 x casters, 4 x feet 30 x screw</t>
  </si>
  <si>
    <t>VOLTAM PD-01 6 way EU type PDU</t>
  </si>
  <si>
    <t>VOLTAM CAT 6 FTP INDOOR HALOGEN FREE  Şəbəkə Kabeli 0.57 mm pure copper +1.0 HDPE +ground wire +Al foil +6.4mm PVC Fluke pass 500-METR</t>
  </si>
  <si>
    <t>DATALINK RJ45 - CAT6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</si>
</sst>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[$₼-42C]_-;\-* #,##0.00\ [$₼-42C]_-;_-* &quot;-&quot;??\ [$₼-42C]_-;_-@_-"/>
    <numFmt numFmtId="166" formatCode="###\ ###\ ##0.##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7" fillId="0" borderId="0" applyFont="0" applyFill="0" applyBorder="0" applyAlignment="0" applyProtection="0"/>
  </cellStyleXfs>
  <cellXfs count="18">
    <xf numFmtId="0" fontId="0" fillId="0" borderId="0" xfId="0"/>
    <xf numFmtId="0" fontId="4" fillId="2" borderId="0" xfId="1" applyFont="1" applyFill="1"/>
    <xf numFmtId="2" fontId="4" fillId="2" borderId="0" xfId="1" applyNumberFormat="1" applyFont="1" applyFill="1"/>
    <xf numFmtId="0" fontId="4" fillId="2" borderId="0" xfId="1" applyFont="1" applyFill="1" applyAlignment="1">
      <alignment wrapText="1"/>
    </xf>
    <xf numFmtId="0" fontId="6" fillId="2" borderId="0" xfId="1" applyFont="1" applyFill="1"/>
    <xf numFmtId="165" fontId="1" fillId="2" borderId="0" xfId="2" applyNumberFormat="1" applyFont="1" applyFill="1" applyAlignment="1">
      <alignment horizontal="right" vertical="center"/>
    </xf>
    <xf numFmtId="0" fontId="5" fillId="3" borderId="1" xfId="1" applyFont="1" applyFill="1" applyBorder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66" fontId="8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2" borderId="0" xfId="1" applyFont="1" applyFill="1" applyAlignment="1">
      <alignment horizontal="right" vertical="center"/>
    </xf>
    <xf numFmtId="0" fontId="2" fillId="2" borderId="0" xfId="1" applyFont="1" applyFill="1" applyAlignment="1">
      <alignment horizontal="right"/>
    </xf>
    <xf numFmtId="166" fontId="8" fillId="3" borderId="0" xfId="1" applyNumberFormat="1" applyFont="1" applyFill="1" applyBorder="1" applyAlignment="1" applyProtection="1">
      <alignment horizontal="center" vertical="center" wrapText="1"/>
      <protection hidden="1"/>
    </xf>
  </cellXfs>
  <cellStyles count="3">
    <cellStyle name="Currency" xfId="2" builtinId="4"/>
    <cellStyle name="Normal" xfId="0" builtinId="0"/>
    <cellStyle name="Normal 2" xfId="1" xr:uid="{4875B6DF-F442-41F1-869E-07926BE99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A142-E4E9-4A74-B371-12F00E6995DD}">
  <dimension ref="B1:M33"/>
  <sheetViews>
    <sheetView tabSelected="1" topLeftCell="B7" zoomScale="83" zoomScaleNormal="83" zoomScaleSheetLayoutView="100" workbookViewId="0">
      <selection activeCell="I11" sqref="I11"/>
    </sheetView>
  </sheetViews>
  <sheetFormatPr defaultColWidth="9.140625" defaultRowHeight="19.899999999999999" customHeight="1" x14ac:dyDescent="0.2"/>
  <cols>
    <col min="1" max="1" width="9.140625" style="1"/>
    <col min="2" max="2" width="3.42578125" style="1" customWidth="1"/>
    <col min="3" max="3" width="49.7109375" style="1" customWidth="1"/>
    <col min="4" max="4" width="33.7109375" style="1" customWidth="1"/>
    <col min="5" max="5" width="37" style="1" customWidth="1"/>
    <col min="6" max="6" width="11.7109375" style="1" customWidth="1"/>
    <col min="7" max="7" width="12.7109375" style="1" customWidth="1"/>
    <col min="8" max="8" width="17.7109375" style="1" customWidth="1"/>
    <col min="9" max="9" width="18.28515625" style="1" customWidth="1"/>
    <col min="10" max="10" width="20.85546875" style="1" customWidth="1"/>
    <col min="11" max="11" width="67.85546875" style="1" customWidth="1"/>
    <col min="12" max="12" width="9.140625" style="1"/>
    <col min="13" max="13" width="9.42578125" style="1" bestFit="1" customWidth="1"/>
    <col min="14" max="16384" width="9.140625" style="1"/>
  </cols>
  <sheetData>
    <row r="1" spans="2:13" ht="36.6" customHeight="1" x14ac:dyDescent="0.2">
      <c r="B1" s="6" t="s">
        <v>2</v>
      </c>
      <c r="C1" s="7" t="s">
        <v>8</v>
      </c>
      <c r="D1" s="8" t="s">
        <v>9</v>
      </c>
      <c r="E1" s="7" t="s">
        <v>10</v>
      </c>
      <c r="F1" s="8" t="s">
        <v>11</v>
      </c>
      <c r="G1" s="8" t="s">
        <v>1</v>
      </c>
      <c r="H1" s="9" t="s">
        <v>6</v>
      </c>
      <c r="I1" s="9" t="s">
        <v>7</v>
      </c>
      <c r="J1" s="9" t="s">
        <v>0</v>
      </c>
      <c r="K1" s="17" t="s">
        <v>38</v>
      </c>
      <c r="M1" s="2"/>
    </row>
    <row r="2" spans="2:13" ht="19.5" customHeight="1" x14ac:dyDescent="0.2">
      <c r="B2" s="11">
        <v>1</v>
      </c>
      <c r="C2" s="12" t="s">
        <v>12</v>
      </c>
      <c r="D2" s="14" t="s">
        <v>13</v>
      </c>
      <c r="E2" s="12" t="s">
        <v>14</v>
      </c>
      <c r="F2" s="14">
        <v>2</v>
      </c>
      <c r="G2" s="14" t="s">
        <v>15</v>
      </c>
      <c r="H2" s="10">
        <v>88.68</v>
      </c>
      <c r="I2" s="12">
        <f>H2*F2</f>
        <v>177.36</v>
      </c>
      <c r="J2" s="13"/>
      <c r="K2" s="11" t="s">
        <v>39</v>
      </c>
    </row>
    <row r="3" spans="2:13" ht="48" customHeight="1" x14ac:dyDescent="0.2">
      <c r="B3" s="11">
        <v>2</v>
      </c>
      <c r="C3" s="12" t="s">
        <v>12</v>
      </c>
      <c r="D3" s="14" t="s">
        <v>16</v>
      </c>
      <c r="E3" s="12" t="s">
        <v>17</v>
      </c>
      <c r="F3" s="14">
        <v>1</v>
      </c>
      <c r="G3" s="14" t="s">
        <v>15</v>
      </c>
      <c r="H3" s="10">
        <v>415</v>
      </c>
      <c r="I3" s="12">
        <f>H3*F3</f>
        <v>415</v>
      </c>
      <c r="J3" s="13"/>
      <c r="K3" s="11" t="s">
        <v>40</v>
      </c>
    </row>
    <row r="4" spans="2:13" ht="19.899999999999999" customHeight="1" x14ac:dyDescent="0.2">
      <c r="B4" s="11">
        <v>3</v>
      </c>
      <c r="C4" s="12" t="s">
        <v>18</v>
      </c>
      <c r="D4" s="14" t="s">
        <v>19</v>
      </c>
      <c r="E4" s="12"/>
      <c r="F4" s="14">
        <v>1</v>
      </c>
      <c r="G4" s="14" t="s">
        <v>15</v>
      </c>
      <c r="H4" s="10"/>
      <c r="I4" s="12"/>
      <c r="J4" s="13"/>
      <c r="K4" s="13"/>
    </row>
    <row r="5" spans="2:13" ht="19.899999999999999" customHeight="1" x14ac:dyDescent="0.2">
      <c r="B5" s="11">
        <v>4</v>
      </c>
      <c r="C5" s="12" t="s">
        <v>18</v>
      </c>
      <c r="D5" s="14" t="s">
        <v>20</v>
      </c>
      <c r="E5" s="12"/>
      <c r="F5" s="14">
        <v>2</v>
      </c>
      <c r="G5" s="14" t="s">
        <v>15</v>
      </c>
      <c r="H5" s="10"/>
      <c r="I5" s="12"/>
      <c r="J5" s="13"/>
      <c r="K5" s="13"/>
    </row>
    <row r="6" spans="2:13" ht="19.899999999999999" customHeight="1" x14ac:dyDescent="0.2">
      <c r="B6" s="11">
        <v>5</v>
      </c>
      <c r="C6" s="12" t="s">
        <v>21</v>
      </c>
      <c r="D6" s="14" t="s">
        <v>22</v>
      </c>
      <c r="E6" s="12"/>
      <c r="F6" s="14">
        <v>3</v>
      </c>
      <c r="G6" s="14" t="s">
        <v>15</v>
      </c>
      <c r="H6" s="10">
        <v>25</v>
      </c>
      <c r="I6" s="12">
        <f>H6*F6</f>
        <v>75</v>
      </c>
      <c r="J6" s="13"/>
      <c r="K6" s="13" t="s">
        <v>41</v>
      </c>
    </row>
    <row r="7" spans="2:13" ht="30.6" customHeight="1" x14ac:dyDescent="0.2">
      <c r="B7" s="11">
        <v>6</v>
      </c>
      <c r="C7" s="12" t="s">
        <v>23</v>
      </c>
      <c r="D7" s="14"/>
      <c r="E7" s="12" t="s">
        <v>24</v>
      </c>
      <c r="F7" s="14">
        <v>12</v>
      </c>
      <c r="G7" s="14" t="s">
        <v>15</v>
      </c>
      <c r="H7" s="10">
        <v>11</v>
      </c>
      <c r="I7" s="12">
        <f>H7*F7</f>
        <v>132</v>
      </c>
      <c r="J7" s="13"/>
      <c r="K7" s="13" t="s">
        <v>24</v>
      </c>
    </row>
    <row r="8" spans="2:13" ht="42.6" customHeight="1" x14ac:dyDescent="0.2">
      <c r="B8" s="11">
        <v>7</v>
      </c>
      <c r="C8" s="12" t="s">
        <v>25</v>
      </c>
      <c r="D8" s="14"/>
      <c r="E8" s="12"/>
      <c r="F8" s="14">
        <v>12</v>
      </c>
      <c r="G8" s="14" t="s">
        <v>15</v>
      </c>
      <c r="H8" s="10"/>
      <c r="I8" s="12"/>
      <c r="J8" s="13"/>
      <c r="K8" s="13"/>
    </row>
    <row r="9" spans="2:13" ht="48.75" customHeight="1" x14ac:dyDescent="0.2">
      <c r="B9" s="11">
        <v>8</v>
      </c>
      <c r="C9" s="12" t="s">
        <v>26</v>
      </c>
      <c r="D9" s="14" t="s">
        <v>27</v>
      </c>
      <c r="E9" s="12" t="s">
        <v>27</v>
      </c>
      <c r="F9" s="14">
        <v>500</v>
      </c>
      <c r="G9" s="14" t="s">
        <v>28</v>
      </c>
      <c r="H9" s="10">
        <v>0.85</v>
      </c>
      <c r="I9" s="12">
        <f>H9*F9</f>
        <v>425</v>
      </c>
      <c r="J9" s="13"/>
      <c r="K9" s="11" t="s">
        <v>42</v>
      </c>
    </row>
    <row r="10" spans="2:13" ht="38.450000000000003" customHeight="1" x14ac:dyDescent="0.2">
      <c r="B10" s="11">
        <v>9</v>
      </c>
      <c r="C10" s="12" t="s">
        <v>29</v>
      </c>
      <c r="D10" s="14" t="s">
        <v>30</v>
      </c>
      <c r="E10" s="12" t="s">
        <v>31</v>
      </c>
      <c r="F10" s="14">
        <v>150</v>
      </c>
      <c r="G10" s="14" t="s">
        <v>15</v>
      </c>
      <c r="H10" s="10">
        <v>0.17</v>
      </c>
      <c r="I10" s="12">
        <f>H10*F10</f>
        <v>25.500000000000004</v>
      </c>
      <c r="J10" s="13"/>
      <c r="K10" s="13" t="s">
        <v>43</v>
      </c>
    </row>
    <row r="11" spans="2:13" ht="19.899999999999999" customHeight="1" x14ac:dyDescent="0.2">
      <c r="B11" s="11">
        <v>10</v>
      </c>
      <c r="C11" s="12" t="s">
        <v>32</v>
      </c>
      <c r="D11" s="14" t="s">
        <v>33</v>
      </c>
      <c r="E11" s="12"/>
      <c r="F11" s="14">
        <v>40</v>
      </c>
      <c r="G11" s="14" t="s">
        <v>15</v>
      </c>
      <c r="H11" s="10"/>
      <c r="I11" s="12"/>
      <c r="J11" s="13"/>
      <c r="K11" s="13"/>
    </row>
    <row r="12" spans="2:13" ht="19.899999999999999" customHeight="1" x14ac:dyDescent="0.2">
      <c r="B12" s="11">
        <v>11</v>
      </c>
      <c r="C12" s="12" t="s">
        <v>34</v>
      </c>
      <c r="D12" s="14"/>
      <c r="E12" s="12" t="s">
        <v>35</v>
      </c>
      <c r="F12" s="14">
        <v>60</v>
      </c>
      <c r="G12" s="14" t="s">
        <v>28</v>
      </c>
      <c r="H12" s="10"/>
      <c r="I12" s="12"/>
      <c r="J12" s="13"/>
      <c r="K12" s="13"/>
    </row>
    <row r="13" spans="2:13" ht="19.899999999999999" customHeight="1" x14ac:dyDescent="0.2">
      <c r="B13" s="11">
        <v>12</v>
      </c>
      <c r="C13" s="12" t="s">
        <v>36</v>
      </c>
      <c r="D13" s="14"/>
      <c r="E13" s="12"/>
      <c r="F13" s="14">
        <v>4</v>
      </c>
      <c r="G13" s="14" t="s">
        <v>15</v>
      </c>
      <c r="H13" s="10"/>
      <c r="I13" s="12"/>
      <c r="J13" s="13"/>
      <c r="K13" s="13"/>
    </row>
    <row r="14" spans="2:13" ht="19.899999999999999" customHeight="1" x14ac:dyDescent="0.2">
      <c r="B14" s="11">
        <v>13</v>
      </c>
      <c r="C14" s="12" t="s">
        <v>37</v>
      </c>
      <c r="D14" s="14"/>
      <c r="E14" s="12"/>
      <c r="F14" s="14">
        <v>8</v>
      </c>
      <c r="G14" s="14" t="s">
        <v>15</v>
      </c>
      <c r="H14" s="10"/>
      <c r="I14" s="12"/>
      <c r="J14" s="13"/>
      <c r="K14" s="13"/>
    </row>
    <row r="15" spans="2:13" ht="19.899999999999999" customHeight="1" x14ac:dyDescent="0.3">
      <c r="B15" s="16" t="s">
        <v>3</v>
      </c>
      <c r="C15" s="16"/>
      <c r="D15" s="16"/>
      <c r="E15" s="16"/>
      <c r="F15" s="16"/>
      <c r="G15" s="16"/>
      <c r="H15" s="16"/>
      <c r="I15" s="16"/>
      <c r="J15" s="5">
        <f>SUM(I2:I14)</f>
        <v>1249.8600000000001</v>
      </c>
      <c r="K15" s="5"/>
    </row>
    <row r="16" spans="2:13" ht="19.899999999999999" customHeight="1" x14ac:dyDescent="0.2">
      <c r="B16" s="15" t="s">
        <v>4</v>
      </c>
      <c r="C16" s="15"/>
      <c r="D16" s="15"/>
      <c r="E16" s="15"/>
      <c r="F16" s="15"/>
      <c r="G16" s="15"/>
      <c r="H16" s="15"/>
      <c r="I16" s="15"/>
      <c r="J16" s="5">
        <f>J15*18%</f>
        <v>224.97480000000002</v>
      </c>
      <c r="K16" s="5"/>
    </row>
    <row r="17" spans="2:11" ht="19.899999999999999" customHeight="1" x14ac:dyDescent="0.2">
      <c r="B17" s="15" t="s">
        <v>5</v>
      </c>
      <c r="C17" s="15"/>
      <c r="D17" s="15"/>
      <c r="E17" s="15"/>
      <c r="F17" s="15"/>
      <c r="G17" s="15"/>
      <c r="H17" s="15"/>
      <c r="I17" s="15"/>
      <c r="J17" s="5">
        <f>SUM(J15:J16)</f>
        <v>1474.8348000000001</v>
      </c>
      <c r="K17" s="5"/>
    </row>
    <row r="18" spans="2:11" ht="19.899999999999999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ht="19.899999999999999" customHeight="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ht="19.899999999999999" customHeight="1" x14ac:dyDescent="0.2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ht="19.899999999999999" customHeight="1" x14ac:dyDescent="0.2">
      <c r="G21" s="4"/>
    </row>
    <row r="23" spans="2:11" ht="19.899999999999999" customHeight="1" x14ac:dyDescent="0.2">
      <c r="G23" s="4"/>
    </row>
    <row r="24" spans="2:11" ht="19.899999999999999" customHeight="1" x14ac:dyDescent="0.2">
      <c r="G24" s="4"/>
    </row>
    <row r="28" spans="2:11" ht="19.899999999999999" customHeight="1" x14ac:dyDescent="0.2">
      <c r="G28" s="4"/>
    </row>
    <row r="29" spans="2:11" ht="19.899999999999999" customHeight="1" x14ac:dyDescent="0.2">
      <c r="G29" s="4"/>
    </row>
    <row r="30" spans="2:11" ht="19.899999999999999" customHeight="1" x14ac:dyDescent="0.2">
      <c r="G30" s="4"/>
    </row>
    <row r="31" spans="2:11" ht="19.899999999999999" customHeight="1" x14ac:dyDescent="0.2">
      <c r="G31" s="4"/>
    </row>
    <row r="32" spans="2:11" ht="19.899999999999999" customHeight="1" x14ac:dyDescent="0.2">
      <c r="G32" s="4"/>
    </row>
    <row r="33" spans="7:7" ht="19.899999999999999" customHeight="1" x14ac:dyDescent="0.2">
      <c r="G33" s="4"/>
    </row>
  </sheetData>
  <mergeCells count="3">
    <mergeCell ref="B17:I17"/>
    <mergeCell ref="B15:I15"/>
    <mergeCell ref="B16:I16"/>
  </mergeCells>
  <phoneticPr fontId="11" type="noConversion"/>
  <pageMargins left="0.7" right="0.7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Təklif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Technologies</dc:creator>
  <cp:lastModifiedBy>Gulbadam Tamrazova</cp:lastModifiedBy>
  <cp:lastPrinted>2026-03-03T05:27:22Z</cp:lastPrinted>
  <dcterms:created xsi:type="dcterms:W3CDTF">2015-06-05T18:17:20Z</dcterms:created>
  <dcterms:modified xsi:type="dcterms:W3CDTF">2026-04-01T11:45:59Z</dcterms:modified>
</cp:coreProperties>
</file>